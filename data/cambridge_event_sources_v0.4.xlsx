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Источники" sheetId="2" state="visible" r:id="rId2"/>
    <sheet name="Проверка P1" sheetId="3" state="visible" r:id="rId3"/>
    <sheet name="Сводка" sheetId="4" state="visible" r:id="rId4"/>
    <sheet name="Схема события" sheetId="5" state="visible" r:id="rId5"/>
    <sheet name="Категории и теги" sheetId="6" state="visible" r:id="rId6"/>
  </sheets>
  <definedNames>
    <definedName name="_xlnm._FilterDatabase" localSheetId="1" hidden="1">'Источники'!$A$1:$O$90</definedName>
    <definedName name="_xlnm._FilterDatabase" localSheetId="2" hidden="1">'Проверка P1'!$A$1:$G$38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FFFFFFFF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0" min="1" max="1"/>
  </cols>
  <sheetData>
    <row r="1" ht="15" customHeight="1" s="11">
      <c r="A1" s="12" t="inlineStr">
        <is>
          <t>Реестр источников событий — Кембридж и окрестности (v0.4, сентябрь 2026)</t>
        </is>
      </c>
    </row>
    <row r="2" ht="15" customHeight="1" s="11">
      <c r="A2" s="13" t="n"/>
    </row>
    <row r="3" ht="15" customHeight="1" s="11">
      <c r="A3" s="13" t="inlineStr">
        <is>
          <t>Источники — основная таблица. Одна строка = один источник. Фильтры в заголовке.</t>
        </is>
      </c>
    </row>
    <row r="4" ht="15" customHeight="1" s="11">
      <c r="A4" s="13" t="inlineStr">
        <is>
          <t>Жёлтым выделено: URL не проверен или не указан — нужно найти/подтвердить перед написанием парсера.</t>
        </is>
      </c>
    </row>
    <row r="5" ht="26.85" customHeight="1" s="11">
      <c r="A5" s="13" t="inlineStr">
        <is>
          <t>«URL проверен = да» — адрес подтверждён поиском; «проверить» — источник известен, но адрес и формат нужно сверить.</t>
        </is>
      </c>
    </row>
    <row r="6" ht="15" customHeight="1" s="11">
      <c r="A6" s="13" t="inlineStr">
        <is>
          <t>Приоритет: 1 — брать в MVP, 2 — вторая волна, 3 — когда будет время.</t>
        </is>
      </c>
    </row>
    <row r="7" ht="26.85" customHeight="1" s="11">
      <c r="A7" s="13" t="inlineStr">
        <is>
          <t>Способ сбора: RSS / iCal / API — дешёвый и надёжный; HTML — парсинг; Ручной — ежегодные события, проще завести руками.</t>
        </is>
      </c>
    </row>
    <row r="8" ht="15" customHeight="1" s="11">
      <c r="A8" s="13" t="inlineStr">
        <is>
          <t>Сводка — счётчики по категориям (формулы, пересчитываются сами).</t>
        </is>
      </c>
    </row>
    <row r="9" ht="15" customHeight="1" s="11">
      <c r="A9" s="13" t="inlineStr">
        <is>
          <t>Схема события — поля, которые парсер должен заполнять для каждого события.</t>
        </is>
      </c>
    </row>
    <row r="10" ht="15" customHeight="1" s="11">
      <c r="A10" s="13" t="inlineStr">
        <is>
          <t>Категории и теги — справочник значений для полей category и тегов.</t>
        </is>
      </c>
    </row>
    <row r="11" ht="15" customHeight="1" s="11">
      <c r="A11" s="13" t="n"/>
    </row>
    <row r="12" ht="15" customHeight="1" s="11">
      <c r="A12" s="13" t="inlineStr">
        <is>
          <t>Пример строки: S047 Talks.cam — готовые iCal/RSS/XML-фиды с датой, местом и организатором; приоритет 1.</t>
        </is>
      </c>
    </row>
    <row r="13">
      <c r="A13" t="inlineStr">
        <is>
          <t>v0.4 (2026-09-27): проверены источники приоритета 1 — см. лист «Проверка P1»; новые столбцы «Endpoint для сбора», «robots.txt», «Проверено». «URL проверен = нет» — URL не отвечает (красный).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24" customWidth="1" style="10" min="2" max="2"/>
    <col width="38" customWidth="1" style="10" min="3" max="3"/>
    <col width="20" customWidth="1" style="10" min="4" max="4"/>
    <col width="42" customWidth="1" style="10" min="5" max="5"/>
    <col width="44" customWidth="1" style="10" min="6" max="6"/>
    <col width="14" customWidth="1" style="10" min="7" max="7"/>
    <col width="30" customWidth="1" style="10" min="8" max="8"/>
    <col width="16" customWidth="1" style="10" min="9" max="9"/>
    <col width="10" customWidth="1" style="10" min="10" max="10"/>
    <col width="12" customWidth="1" style="10" min="11" max="11"/>
    <col width="50" customWidth="1" style="10" min="12" max="12"/>
    <col width="50" customWidth="1" style="11" min="13" max="13"/>
    <col width="12" customWidth="1" style="11" min="14" max="14"/>
    <col width="12" customWidth="1" style="11" min="15" max="15"/>
  </cols>
  <sheetData>
    <row r="1" ht="39.55" customHeight="1" s="11">
      <c r="A1" s="14" t="inlineStr">
        <is>
          <t>ID</t>
        </is>
      </c>
      <c r="B1" s="14" t="inlineStr">
        <is>
          <t>Категория</t>
        </is>
      </c>
      <c r="C1" s="14" t="inlineStr">
        <is>
          <t>Источник</t>
        </is>
      </c>
      <c r="D1" s="14" t="inlineStr">
        <is>
          <t>Тип источника</t>
        </is>
      </c>
      <c r="E1" s="14" t="inlineStr">
        <is>
          <t>URL</t>
        </is>
      </c>
      <c r="F1" s="14" t="inlineStr">
        <is>
          <t>Что покрывает</t>
        </is>
      </c>
      <c r="G1" s="14" t="inlineStr">
        <is>
          <t>Зона</t>
        </is>
      </c>
      <c r="H1" s="14" t="inlineStr">
        <is>
          <t>Способ сбора</t>
        </is>
      </c>
      <c r="I1" s="14" t="inlineStr">
        <is>
          <t>Частота</t>
        </is>
      </c>
      <c r="J1" s="14" t="inlineStr">
        <is>
          <t>Приоритет</t>
        </is>
      </c>
      <c r="K1" s="14" t="inlineStr">
        <is>
          <t>URL проверен</t>
        </is>
      </c>
      <c r="L1" s="14" t="inlineStr">
        <is>
          <t>Заметки</t>
        </is>
      </c>
      <c r="M1" s="15" t="inlineStr">
        <is>
          <t>Endpoint для сбора</t>
        </is>
      </c>
      <c r="N1" s="15" t="inlineStr">
        <is>
          <t>robots.txt</t>
        </is>
      </c>
      <c r="O1" s="15" t="inlineStr">
        <is>
          <t>Проверено</t>
        </is>
      </c>
    </row>
    <row r="2" ht="23.85" customHeight="1" s="11">
      <c r="A2" s="16" t="inlineStr">
        <is>
          <t>S001</t>
        </is>
      </c>
      <c r="B2" s="16" t="inlineStr">
        <is>
          <t>Сквозные агрегаторы</t>
        </is>
      </c>
      <c r="C2" s="16" t="inlineStr">
        <is>
          <t>Visit Cambridge — events</t>
        </is>
      </c>
      <c r="D2" s="16" t="inlineStr">
        <is>
          <t>Агрегатор</t>
        </is>
      </c>
      <c r="E2" s="16" t="inlineStr">
        <is>
          <t>https://www.visitcambridge.org</t>
        </is>
      </c>
      <c r="F2" s="16" t="inlineStr">
        <is>
          <t>Официальный туристический календарь, все категории</t>
        </is>
      </c>
      <c r="G2" s="16" t="inlineStr">
        <is>
          <t>Центр</t>
        </is>
      </c>
      <c r="H2" s="16" t="inlineStr">
        <is>
          <t>API + HTML</t>
        </is>
      </c>
      <c r="I2" s="16" t="inlineStr">
        <is>
          <t>Ежедневно</t>
        </is>
      </c>
      <c r="J2" s="16" t="n">
        <v>1</v>
      </c>
      <c r="K2" s="16" t="inlineStr">
        <is>
          <t>да</t>
        </is>
      </c>
      <c r="L2" s="16" t="inlineStr">
        <is>
          <t>Хорошая опорная база, но туристический уклон. v0.4: внутренний API vc-map отдаёт события с адресом и postcode, но без дат — даты брать со страниц /event/…</t>
        </is>
      </c>
      <c r="M2" t="inlineStr">
        <is>
          <t>https://www.visitcambridge.org/wp-json/vc-map/v1/events</t>
        </is>
      </c>
      <c r="N2" t="inlineStr">
        <is>
          <t>разрешено</t>
        </is>
      </c>
      <c r="O2" t="inlineStr">
        <is>
          <t>2026-09-27</t>
        </is>
      </c>
    </row>
    <row r="3" ht="23.85" customHeight="1" s="11">
      <c r="A3" s="16" t="inlineStr">
        <is>
          <t>S002</t>
        </is>
      </c>
      <c r="B3" s="16" t="inlineStr">
        <is>
          <t>Сквозные агрегаторы</t>
        </is>
      </c>
      <c r="C3" s="16" t="inlineStr">
        <is>
          <t>What's On In Cambridge</t>
        </is>
      </c>
      <c r="D3" s="16" t="inlineStr">
        <is>
          <t>Агрегатор</t>
        </is>
      </c>
      <c r="E3" s="16" t="inlineStr">
        <is>
          <t>https://www.whatsonincambridge.com/__superjs/challenge?u=%2Fevents%2F</t>
        </is>
      </c>
      <c r="F3" s="16" t="inlineStr">
        <is>
          <t>Календарь событий, все категории</t>
        </is>
      </c>
      <c r="G3" s="16" t="inlineStr">
        <is>
          <t>Центр</t>
        </is>
      </c>
      <c r="H3" s="16" t="inlineStr">
        <is>
          <t>RSS</t>
        </is>
      </c>
      <c r="I3" s="16" t="inlineStr">
        <is>
          <t>Ежедневно</t>
        </is>
      </c>
      <c r="J3" s="16" t="n">
        <v>1</v>
      </c>
      <c r="K3" s="16" t="inlineStr">
        <is>
          <t>да</t>
        </is>
      </c>
      <c r="L3" s="16" t="inlineStr">
        <is>
          <t>Сами предупреждают, что обновляют не каждый день — использовать как подсказку, сверять с первоисточником. v0.4: RSS жив (10 записей); страница /events/ за JS-проверкой</t>
        </is>
      </c>
      <c r="M3" t="inlineStr">
        <is>
          <t>https://www.whatsonincambridge.com/feed/</t>
        </is>
      </c>
      <c r="N3" t="inlineStr">
        <is>
          <t>разрешено</t>
        </is>
      </c>
      <c r="O3" t="inlineStr">
        <is>
          <t>2026-09-27</t>
        </is>
      </c>
    </row>
    <row r="4" ht="15" customHeight="1" s="11">
      <c r="A4" s="16" t="inlineStr">
        <is>
          <t>S003</t>
        </is>
      </c>
      <c r="B4" s="16" t="inlineStr">
        <is>
          <t>Сквозные агрегаторы</t>
        </is>
      </c>
      <c r="C4" s="16" t="inlineStr">
        <is>
          <t>Cambridge Independent — What's On</t>
        </is>
      </c>
      <c r="D4" s="16" t="inlineStr">
        <is>
          <t>СМИ</t>
        </is>
      </c>
      <c r="E4" s="16" t="inlineStr">
        <is>
          <t>https://www.cambridgeindependent.co.uk/whats-on/</t>
        </is>
      </c>
      <c r="F4" s="16" t="inlineStr">
        <is>
          <t>Анонсы концертов, театра, кино, семейного</t>
        </is>
      </c>
      <c r="G4" s="16" t="inlineStr">
        <is>
          <t>Центр + 30 мин</t>
        </is>
      </c>
      <c r="H4" s="16" t="inlineStr">
        <is>
          <t>RSS</t>
        </is>
      </c>
      <c r="I4" s="16" t="inlineStr">
        <is>
          <t>Ежедневно</t>
        </is>
      </c>
      <c r="J4" s="16" t="n">
        <v>1</v>
      </c>
      <c r="K4" s="16" t="inlineStr">
        <is>
          <t>да</t>
        </is>
      </c>
      <c r="L4" s="16" t="inlineStr">
        <is>
          <t>Также спортивный раздел — календари United</t>
        </is>
      </c>
      <c r="M4" t="inlineStr">
        <is>
          <t>https://www.cambridgeindependent.co.uk/_api/rss/cambridge_independent_whatson_feed.xml</t>
        </is>
      </c>
      <c r="N4" t="inlineStr">
        <is>
          <t>разрешено</t>
        </is>
      </c>
      <c r="O4" t="inlineStr">
        <is>
          <t>2026-09-27</t>
        </is>
      </c>
    </row>
    <row r="5" ht="15" customHeight="1" s="11">
      <c r="A5" s="16" t="inlineStr">
        <is>
          <t>S004</t>
        </is>
      </c>
      <c r="B5" s="16" t="inlineStr">
        <is>
          <t>Сквозные агрегаторы</t>
        </is>
      </c>
      <c r="C5" s="16" t="inlineStr">
        <is>
          <t>Cambridge News / CambridgeshireLive</t>
        </is>
      </c>
      <c r="D5" s="16" t="inlineStr">
        <is>
          <t>СМИ</t>
        </is>
      </c>
      <c r="E5" s="16" t="inlineStr">
        <is>
          <t>https://www.cambridge-news.co.uk</t>
        </is>
      </c>
      <c r="F5" s="16" t="inlineStr">
        <is>
          <t>Новости, анонсы, отмены, перекрытия</t>
        </is>
      </c>
      <c r="G5" s="16" t="inlineStr">
        <is>
          <t>Центр + час</t>
        </is>
      </c>
      <c r="H5" s="16" t="inlineStr">
        <is>
          <t>RSS</t>
        </is>
      </c>
      <c r="I5" s="16" t="inlineStr">
        <is>
          <t>2–3 раза в день</t>
        </is>
      </c>
      <c r="J5" s="16" t="n">
        <v>1</v>
      </c>
      <c r="K5" s="16" t="inlineStr">
        <is>
          <t>да</t>
        </is>
      </c>
      <c r="L5" s="16" t="inlineStr">
        <is>
          <t>Ключевой источник для контура отмен. v0.4: раздел What's On: /whats-on/?service=rss; общий фид новостей /?service=rss — для контура отмен</t>
        </is>
      </c>
      <c r="M5" t="inlineStr">
        <is>
          <t>https://www.cambridge-news.co.uk/whats-on/?service=rss</t>
        </is>
      </c>
      <c r="N5" t="inlineStr">
        <is>
          <t>разрешено</t>
        </is>
      </c>
      <c r="O5" t="inlineStr">
        <is>
          <t>2026-09-27</t>
        </is>
      </c>
    </row>
    <row r="6" ht="23.85" customHeight="1" s="11">
      <c r="A6" s="16" t="inlineStr">
        <is>
          <t>S005</t>
        </is>
      </c>
      <c r="B6" s="16" t="inlineStr">
        <is>
          <t>Сквозные агрегаторы</t>
        </is>
      </c>
      <c r="C6" s="16" t="inlineStr">
        <is>
          <t>Cambridge 105 — события</t>
        </is>
      </c>
      <c r="D6" s="16" t="inlineStr">
        <is>
          <t>СМИ / календарь</t>
        </is>
      </c>
      <c r="E6" s="16" t="inlineStr">
        <is>
          <t>https://cambridge105.co.uk</t>
        </is>
      </c>
      <c r="F6" s="16" t="inlineStr">
        <is>
          <t>Общественное радио, календарь местных событий</t>
        </is>
      </c>
      <c r="G6" s="16" t="inlineStr">
        <is>
          <t>Центр</t>
        </is>
      </c>
      <c r="H6" s="16" t="inlineStr">
        <is>
          <t>iCal</t>
        </is>
      </c>
      <c r="I6" s="16" t="inlineStr">
        <is>
          <t>Ежедневно</t>
        </is>
      </c>
      <c r="J6" s="16" t="n">
        <v>1</v>
      </c>
      <c r="K6" s="16" t="inlineStr">
        <is>
          <t>да</t>
        </is>
      </c>
      <c r="L6" s="16" t="inlineStr">
        <is>
          <t>Поймал Thriplow Daffodil Weekend — сильный источник по деревенскому long tail. v0.4: iCal The Events Calendar (22 события) + REST /wp-json/tribe/events/v1/events</t>
        </is>
      </c>
      <c r="M6" t="inlineStr">
        <is>
          <t>https://cambridge105.co.uk/whatson/?ical=1</t>
        </is>
      </c>
      <c r="N6" t="inlineStr">
        <is>
          <t>разрешено</t>
        </is>
      </c>
      <c r="O6" t="inlineStr">
        <is>
          <t>2026-09-27</t>
        </is>
      </c>
    </row>
    <row r="7" ht="15" customHeight="1" s="11">
      <c r="A7" s="16" t="inlineStr">
        <is>
          <t>S006</t>
        </is>
      </c>
      <c r="B7" s="16" t="inlineStr">
        <is>
          <t>Сквозные агрегаторы</t>
        </is>
      </c>
      <c r="C7" s="16" t="inlineStr">
        <is>
          <t>Ents24 — Cambridge</t>
        </is>
      </c>
      <c r="D7" s="16" t="inlineStr">
        <is>
          <t>Агрегатор</t>
        </is>
      </c>
      <c r="E7" s="16" t="inlineStr">
        <is>
          <t>https://www.ents24.com/whatson/cambridge</t>
        </is>
      </c>
      <c r="F7" s="16" t="inlineStr">
        <is>
          <t>Концерты, комедия, театр по всем площадкам</t>
        </is>
      </c>
      <c r="G7" s="16" t="inlineStr">
        <is>
          <t>Центр + 30 мин</t>
        </is>
      </c>
      <c r="H7" s="16" t="inlineStr">
        <is>
          <t>JSON-LD</t>
        </is>
      </c>
      <c r="I7" s="16" t="inlineStr">
        <is>
          <t>Ежедневно</t>
        </is>
      </c>
      <c r="J7" s="16" t="n">
        <v>1</v>
      </c>
      <c r="K7" s="16" t="inlineStr">
        <is>
          <t>да</t>
        </is>
      </c>
      <c r="L7" s="16" t="inlineStr">
        <is>
          <t>Удобно ловить объявления новых шоу</t>
        </is>
      </c>
      <c r="M7" t="inlineStr">
        <is>
          <t>https://www.ents24.com/whatson/cambridge</t>
        </is>
      </c>
      <c r="N7" t="inlineStr">
        <is>
          <t>разрешено</t>
        </is>
      </c>
      <c r="O7" t="inlineStr">
        <is>
          <t>2026-09-27</t>
        </is>
      </c>
    </row>
    <row r="8" ht="15" customHeight="1" s="11">
      <c r="A8" s="16" t="inlineStr">
        <is>
          <t>S007</t>
        </is>
      </c>
      <c r="B8" s="16" t="inlineStr">
        <is>
          <t>Сквозные агрегаторы</t>
        </is>
      </c>
      <c r="C8" s="16" t="inlineStr">
        <is>
          <t>Skiddle — Cambridge</t>
        </is>
      </c>
      <c r="D8" s="16" t="inlineStr">
        <is>
          <t>Агрегатор / билеты</t>
        </is>
      </c>
      <c r="E8" s="16" t="inlineStr">
        <is>
          <t>https://www.skiddle.com/whats-on/Cambridge/</t>
        </is>
      </c>
      <c r="F8" s="16" t="inlineStr">
        <is>
          <t>Клубы, гиги, фестивали</t>
        </is>
      </c>
      <c r="G8" s="16" t="inlineStr">
        <is>
          <t>Центр</t>
        </is>
      </c>
      <c r="H8" s="16" t="inlineStr">
        <is>
          <t>JSON-LD (API — по ключу)</t>
        </is>
      </c>
      <c r="I8" s="16" t="inlineStr">
        <is>
          <t>Ежедневно</t>
        </is>
      </c>
      <c r="J8" s="16" t="n">
        <v>1</v>
      </c>
      <c r="K8" s="16" t="inlineStr">
        <is>
          <t>да</t>
        </is>
      </c>
      <c r="L8" s="16" t="inlineStr">
        <is>
          <t>Есть API и партнёрка — сразу и данные, и монетизация. v0.4: страница отдаёт ~49 событий JSON-LD; официальный API требует партнёрский ключ (github.com/Skiddle/web-api)</t>
        </is>
      </c>
      <c r="M8" t="inlineStr">
        <is>
          <t>https://www.skiddle.com/whats-on/Cambridge/</t>
        </is>
      </c>
      <c r="N8" t="inlineStr">
        <is>
          <t>разрешено</t>
        </is>
      </c>
      <c r="O8" t="inlineStr">
        <is>
          <t>2026-09-27</t>
        </is>
      </c>
    </row>
    <row r="9" ht="23.85" customHeight="1" s="11">
      <c r="A9" s="16" t="inlineStr">
        <is>
          <t>S008</t>
        </is>
      </c>
      <c r="B9" s="16" t="inlineStr">
        <is>
          <t>Сквозные агрегаторы</t>
        </is>
      </c>
      <c r="C9" s="16" t="inlineStr">
        <is>
          <t>Eventbrite — Cambridge</t>
        </is>
      </c>
      <c r="D9" s="16" t="inlineStr">
        <is>
          <t>Агрегатор / билеты</t>
        </is>
      </c>
      <c r="E9" s="16" t="inlineStr">
        <is>
          <t>https://www.eventbrite.co.uk</t>
        </is>
      </c>
      <c r="F9" s="16" t="inlineStr">
        <is>
          <t>Воркшопы, лекции, нетворкинг, благотворительность</t>
        </is>
      </c>
      <c r="G9" s="16" t="inlineStr">
        <is>
          <t>Центр + 30 мин</t>
        </is>
      </c>
      <c r="H9" s="16" t="inlineStr">
        <is>
          <t>HTML (публичный поиск по API закрыт — проверить)</t>
        </is>
      </c>
      <c r="I9" s="16" t="inlineStr">
        <is>
          <t>Ежедневно</t>
        </is>
      </c>
      <c r="J9" s="16" t="n">
        <v>2</v>
      </c>
      <c r="K9" s="17" t="inlineStr">
        <is>
          <t>проверить</t>
        </is>
      </c>
      <c r="L9" s="16" t="inlineStr">
        <is>
          <t>Много шума — нужен жёсткий фильтр</t>
        </is>
      </c>
    </row>
    <row r="10" ht="23.85" customHeight="1" s="11">
      <c r="A10" s="16" t="inlineStr">
        <is>
          <t>S009</t>
        </is>
      </c>
      <c r="B10" s="16" t="inlineStr">
        <is>
          <t>Сквозные агрегаторы</t>
        </is>
      </c>
      <c r="C10" s="16" t="inlineStr">
        <is>
          <t>Songkick — площадки Кембриджа</t>
        </is>
      </c>
      <c r="D10" s="16" t="inlineStr">
        <is>
          <t>Агрегатор</t>
        </is>
      </c>
      <c r="E10" s="16" t="inlineStr">
        <is>
          <t>https://www.songkick.com</t>
        </is>
      </c>
      <c r="F10" s="16" t="inlineStr">
        <is>
          <t>Концерты по площадкам</t>
        </is>
      </c>
      <c r="G10" s="16" t="inlineStr">
        <is>
          <t>Центр</t>
        </is>
      </c>
      <c r="H10" s="16" t="inlineStr">
        <is>
          <t>HTML (API для новых партнёров ограничен — проверить)</t>
        </is>
      </c>
      <c r="I10" s="16" t="inlineStr">
        <is>
          <t>Еженедельно</t>
        </is>
      </c>
      <c r="J10" s="16" t="n">
        <v>3</v>
      </c>
      <c r="K10" s="16" t="inlineStr">
        <is>
          <t>да</t>
        </is>
      </c>
      <c r="L10" s="16" t="n"/>
    </row>
    <row r="11" ht="15" customHeight="1" s="11">
      <c r="A11" s="16" t="inlineStr">
        <is>
          <t>S010</t>
        </is>
      </c>
      <c r="B11" s="16" t="inlineStr">
        <is>
          <t>Сквозные агрегаторы</t>
        </is>
      </c>
      <c r="C11" s="16" t="inlineStr">
        <is>
          <t>Peterborough Telegraph</t>
        </is>
      </c>
      <c r="D11" s="16" t="inlineStr">
        <is>
          <t>СМИ</t>
        </is>
      </c>
      <c r="E11" s="16" t="inlineStr">
        <is>
          <t>https://www.peterboroughtoday.co.uk</t>
        </is>
      </c>
      <c r="F11" s="16" t="inlineStr">
        <is>
          <t>Север графства: Уиттлси, Питерборо, фены</t>
        </is>
      </c>
      <c r="G11" s="16" t="inlineStr">
        <is>
          <t>Час</t>
        </is>
      </c>
      <c r="H11" s="16" t="inlineStr">
        <is>
          <t>RSS (уточнить)</t>
        </is>
      </c>
      <c r="I11" s="16" t="inlineStr">
        <is>
          <t>Ежедневно</t>
        </is>
      </c>
      <c r="J11" s="16" t="n">
        <v>2</v>
      </c>
      <c r="K11" s="16" t="inlineStr">
        <is>
          <t>да</t>
        </is>
      </c>
      <c r="L11" s="16" t="inlineStr">
        <is>
          <t>Закрывает дыру по Straw Bear и северу</t>
        </is>
      </c>
    </row>
    <row r="12" ht="23.85" customHeight="1" s="11">
      <c r="A12" s="16" t="inlineStr">
        <is>
          <t>S011</t>
        </is>
      </c>
      <c r="B12" s="16" t="inlineStr">
        <is>
          <t>Концерты</t>
        </is>
      </c>
      <c r="C12" s="16" t="inlineStr">
        <is>
          <t>Cambridge Corn Exchange</t>
        </is>
      </c>
      <c r="D12" s="16" t="inlineStr">
        <is>
          <t>Площадка</t>
        </is>
      </c>
      <c r="E12" s="16" t="inlineStr">
        <is>
          <t>https://www.cornex.co.uk/events</t>
        </is>
      </c>
      <c r="F12" s="16" t="inlineStr">
        <is>
          <t>Крупные концерты, комедия, балет, городские события</t>
        </is>
      </c>
      <c r="G12" s="16" t="inlineStr">
        <is>
          <t>Центр</t>
        </is>
      </c>
      <c r="H12" s="16" t="inlineStr">
        <is>
          <t>HTML + JSON-LD</t>
        </is>
      </c>
      <c r="I12" s="16" t="inlineStr">
        <is>
          <t>Ежедневно</t>
        </is>
      </c>
      <c r="J12" s="16" t="n">
        <v>1</v>
      </c>
      <c r="K12" s="16" t="inlineStr">
        <is>
          <t>да</t>
        </is>
      </c>
      <c r="L12" s="16" t="inlineStr">
        <is>
          <t>Сайт Cambridge Live — там же городские события (фейерверки и др.). v0.4: сайт Corn Exchange — cornex.co.uk; список в HTML, на странице события JSON-LD Event с адресом и postcode; cambridgelive.org.uk → билетный сайт</t>
        </is>
      </c>
      <c r="M12" t="inlineStr">
        <is>
          <t>https://www.cornex.co.uk/events</t>
        </is>
      </c>
      <c r="N12" t="inlineStr">
        <is>
          <t>разрешено</t>
        </is>
      </c>
      <c r="O12" t="inlineStr">
        <is>
          <t>2026-09-27</t>
        </is>
      </c>
    </row>
    <row r="13" ht="15" customHeight="1" s="11">
      <c r="A13" s="16" t="inlineStr">
        <is>
          <t>S012</t>
        </is>
      </c>
      <c r="B13" s="16" t="inlineStr">
        <is>
          <t>Концерты</t>
        </is>
      </c>
      <c r="C13" s="16" t="inlineStr">
        <is>
          <t>Cambridge Junction</t>
        </is>
      </c>
      <c r="D13" s="16" t="inlineStr">
        <is>
          <t>Площадка</t>
        </is>
      </c>
      <c r="E13" s="16" t="inlineStr">
        <is>
          <t>https://www.junction.co.uk</t>
        </is>
      </c>
      <c r="F13" s="16" t="inlineStr">
        <is>
          <t>Концерты, комедия, клубные вечера, театр</t>
        </is>
      </c>
      <c r="G13" s="16" t="inlineStr">
        <is>
          <t>Центр</t>
        </is>
      </c>
      <c r="H13" s="16" t="inlineStr">
        <is>
          <t>API + HTML</t>
        </is>
      </c>
      <c r="I13" s="16" t="inlineStr">
        <is>
          <t>Ежедневно</t>
        </is>
      </c>
      <c r="J13" s="16" t="n">
        <v>1</v>
      </c>
      <c r="K13" s="16" t="inlineStr">
        <is>
          <t>да</t>
        </is>
      </c>
      <c r="L13" s="16" t="inlineStr">
        <is>
          <t>v0.4: WP REST, тип cj_events: названия и ссылки, дат нет — даты со страниц; /feed/ — это блог, не афиша</t>
        </is>
      </c>
      <c r="M13" t="inlineStr">
        <is>
          <t>https://www.junction.co.uk/wp-json/wp/v2/cj_events</t>
        </is>
      </c>
      <c r="N13" t="inlineStr">
        <is>
          <t>разрешено</t>
        </is>
      </c>
      <c r="O13" t="inlineStr">
        <is>
          <t>2026-09-27</t>
        </is>
      </c>
    </row>
    <row r="14" ht="15" customHeight="1" s="11">
      <c r="A14" s="16" t="inlineStr">
        <is>
          <t>S013</t>
        </is>
      </c>
      <c r="B14" s="16" t="inlineStr">
        <is>
          <t>Концерты</t>
        </is>
      </c>
      <c r="C14" s="16" t="inlineStr">
        <is>
          <t>The Portland Arms</t>
        </is>
      </c>
      <c r="D14" s="16" t="inlineStr">
        <is>
          <t>Площадка</t>
        </is>
      </c>
      <c r="E14" s="17" t="n"/>
      <c r="F14" s="16" t="inlineStr">
        <is>
          <t>Небольшие рок/инди-концерты</t>
        </is>
      </c>
      <c r="G14" s="16" t="inlineStr">
        <is>
          <t>Центр</t>
        </is>
      </c>
      <c r="H14" s="16" t="inlineStr">
        <is>
          <t>Через Ents24/Skiddle</t>
        </is>
      </c>
      <c r="I14" s="16" t="inlineStr">
        <is>
          <t>Еженедельно</t>
        </is>
      </c>
      <c r="J14" s="16" t="n">
        <v>2</v>
      </c>
      <c r="K14" s="17" t="inlineStr">
        <is>
          <t>проверить</t>
        </is>
      </c>
      <c r="L14" s="16" t="inlineStr">
        <is>
          <t>Собственный сайт найти</t>
        </is>
      </c>
    </row>
    <row r="15" ht="15" customHeight="1" s="11">
      <c r="A15" s="16" t="inlineStr">
        <is>
          <t>S014</t>
        </is>
      </c>
      <c r="B15" s="16" t="inlineStr">
        <is>
          <t>Концерты</t>
        </is>
      </c>
      <c r="C15" s="16" t="inlineStr">
        <is>
          <t>Storey's Field Centre (Eddington)</t>
        </is>
      </c>
      <c r="D15" s="16" t="inlineStr">
        <is>
          <t>Площадка</t>
        </is>
      </c>
      <c r="E15" s="17" t="n"/>
      <c r="F15" s="16" t="inlineStr">
        <is>
          <t>Камерная музыка, фолк, джаз</t>
        </is>
      </c>
      <c r="G15" s="16" t="inlineStr">
        <is>
          <t>Центр</t>
        </is>
      </c>
      <c r="H15" s="16" t="inlineStr">
        <is>
          <t>HTML</t>
        </is>
      </c>
      <c r="I15" s="16" t="inlineStr">
        <is>
          <t>Еженедельно</t>
        </is>
      </c>
      <c r="J15" s="16" t="n">
        <v>2</v>
      </c>
      <c r="K15" s="17" t="inlineStr">
        <is>
          <t>проверить</t>
        </is>
      </c>
      <c r="L15" s="16" t="n"/>
    </row>
    <row r="16" ht="15" customHeight="1" s="11">
      <c r="A16" s="16" t="inlineStr">
        <is>
          <t>S015</t>
        </is>
      </c>
      <c r="B16" s="16" t="inlineStr">
        <is>
          <t>Концерты</t>
        </is>
      </c>
      <c r="C16" s="16" t="inlineStr">
        <is>
          <t>West Road Concert Hall</t>
        </is>
      </c>
      <c r="D16" s="16" t="inlineStr">
        <is>
          <t>Площадка</t>
        </is>
      </c>
      <c r="E16" s="17" t="n"/>
      <c r="F16" s="16" t="inlineStr">
        <is>
          <t>Классика, университетские оркестры</t>
        </is>
      </c>
      <c r="G16" s="16" t="inlineStr">
        <is>
          <t>Центр</t>
        </is>
      </c>
      <c r="H16" s="16" t="inlineStr">
        <is>
          <t>HTML</t>
        </is>
      </c>
      <c r="I16" s="16" t="inlineStr">
        <is>
          <t>Еженедельно</t>
        </is>
      </c>
      <c r="J16" s="16" t="n">
        <v>2</v>
      </c>
      <c r="K16" s="17" t="inlineStr">
        <is>
          <t>проверить</t>
        </is>
      </c>
      <c r="L16" s="16" t="n"/>
    </row>
    <row r="17" ht="23.85" customHeight="1" s="11">
      <c r="A17" s="16" t="inlineStr">
        <is>
          <t>S016</t>
        </is>
      </c>
      <c r="B17" s="16" t="inlineStr">
        <is>
          <t>Концерты</t>
        </is>
      </c>
      <c r="C17" s="16" t="inlineStr">
        <is>
          <t>Хоровая музыка колледжей (King's, St John's, Trinity)</t>
        </is>
      </c>
      <c r="D17" s="16" t="inlineStr">
        <is>
          <t>Площадка</t>
        </is>
      </c>
      <c r="E17" s="17" t="n"/>
      <c r="F17" s="16" t="inlineStr">
        <is>
          <t>Evensong, концерты хоров, органные вечера</t>
        </is>
      </c>
      <c r="G17" s="16" t="inlineStr">
        <is>
          <t>Центр</t>
        </is>
      </c>
      <c r="H17" s="16" t="inlineStr">
        <is>
          <t>HTML по колледжам</t>
        </is>
      </c>
      <c r="I17" s="16" t="inlineStr">
        <is>
          <t>Еженедельно</t>
        </is>
      </c>
      <c r="J17" s="16" t="n">
        <v>3</v>
      </c>
      <c r="K17" s="17" t="inlineStr">
        <is>
          <t>проверить</t>
        </is>
      </c>
      <c r="L17" s="16" t="inlineStr">
        <is>
          <t>Бесплатно — хороший материал для рубрики «бесплатно»</t>
        </is>
      </c>
    </row>
    <row r="18" ht="15" customHeight="1" s="11">
      <c r="A18" s="16" t="inlineStr">
        <is>
          <t>S017</t>
        </is>
      </c>
      <c r="B18" s="16" t="inlineStr">
        <is>
          <t>Концерты</t>
        </is>
      </c>
      <c r="C18" s="16" t="inlineStr">
        <is>
          <t>Saffron Hall</t>
        </is>
      </c>
      <c r="D18" s="16" t="inlineStr">
        <is>
          <t>Площадка</t>
        </is>
      </c>
      <c r="E18" s="17" t="n"/>
      <c r="F18" s="16" t="inlineStr">
        <is>
          <t>Классика и крупные концерты</t>
        </is>
      </c>
      <c r="G18" s="16" t="inlineStr">
        <is>
          <t>Час</t>
        </is>
      </c>
      <c r="H18" s="16" t="inlineStr">
        <is>
          <t>HTML</t>
        </is>
      </c>
      <c r="I18" s="16" t="inlineStr">
        <is>
          <t>Еженедельно</t>
        </is>
      </c>
      <c r="J18" s="16" t="n">
        <v>2</v>
      </c>
      <c r="K18" s="17" t="inlineStr">
        <is>
          <t>проверить</t>
        </is>
      </c>
      <c r="L18" s="16" t="inlineStr">
        <is>
          <t>Saffron Walden</t>
        </is>
      </c>
    </row>
    <row r="19" ht="23.85" customHeight="1" s="11">
      <c r="A19" s="16" t="inlineStr">
        <is>
          <t>S018</t>
        </is>
      </c>
      <c r="B19" s="16" t="inlineStr">
        <is>
          <t>Спорт — смотреть</t>
        </is>
      </c>
      <c r="C19" s="16" t="inlineStr">
        <is>
          <t>Cambridge United</t>
        </is>
      </c>
      <c r="D19" s="16" t="inlineStr">
        <is>
          <t>Клуб</t>
        </is>
      </c>
      <c r="E19" s="16" t="inlineStr">
        <is>
          <t>https://www.cambridgeunited.com/fixture/list/57</t>
        </is>
      </c>
      <c r="F19" s="16" t="inlineStr">
        <is>
          <t>Матчи Лиги 1, кубки</t>
        </is>
      </c>
      <c r="G19" s="16" t="inlineStr">
        <is>
          <t>Центр</t>
        </is>
      </c>
      <c r="H19" s="16" t="inlineStr">
        <is>
          <t>iCal (fixtur.es) + HTML</t>
        </is>
      </c>
      <c r="I19" s="16" t="inlineStr">
        <is>
          <t>Еженедельно</t>
        </is>
      </c>
      <c r="J19" s="16" t="n">
        <v>1</v>
      </c>
      <c r="K19" s="16" t="inlineStr">
        <is>
          <t>да</t>
        </is>
      </c>
      <c r="L19" s="16" t="inlineStr">
        <is>
          <t>Календарь сезона публикуется летом целиком. v0.4: у клуба календарь только в HTML (/fixture/list/57); готовый iCal домашних матчей — сторонний fixtur.es, сверять с сайтом клуба</t>
        </is>
      </c>
      <c r="M19" t="inlineStr">
        <is>
          <t>https://ics.fixtur.es/v2/home/cambridge-united-fc.ics</t>
        </is>
      </c>
      <c r="N19" t="inlineStr">
        <is>
          <t>разрешено</t>
        </is>
      </c>
      <c r="O19" t="inlineStr">
        <is>
          <t>2026-09-27</t>
        </is>
      </c>
    </row>
    <row r="20" ht="15" customHeight="1" s="11">
      <c r="A20" s="16" t="inlineStr">
        <is>
          <t>S019</t>
        </is>
      </c>
      <c r="B20" s="16" t="inlineStr">
        <is>
          <t>Спорт — смотреть</t>
        </is>
      </c>
      <c r="C20" s="16" t="inlineStr">
        <is>
          <t>Cambridge City FC</t>
        </is>
      </c>
      <c r="D20" s="16" t="inlineStr">
        <is>
          <t>Клуб</t>
        </is>
      </c>
      <c r="E20" s="17" t="n"/>
      <c r="F20" s="16" t="inlineStr">
        <is>
          <t>Нон-лиг футбол</t>
        </is>
      </c>
      <c r="G20" s="16" t="inlineStr">
        <is>
          <t>30 мин</t>
        </is>
      </c>
      <c r="H20" s="16" t="inlineStr">
        <is>
          <t>HTML</t>
        </is>
      </c>
      <c r="I20" s="16" t="inlineStr">
        <is>
          <t>Еженедельно</t>
        </is>
      </c>
      <c r="J20" s="16" t="n">
        <v>3</v>
      </c>
      <c r="K20" s="17" t="inlineStr">
        <is>
          <t>проверить</t>
        </is>
      </c>
      <c r="L20" s="16" t="n"/>
    </row>
    <row r="21" ht="15" customHeight="1" s="11">
      <c r="A21" s="16" t="inlineStr">
        <is>
          <t>S020</t>
        </is>
      </c>
      <c r="B21" s="16" t="inlineStr">
        <is>
          <t>Спорт — смотреть</t>
        </is>
      </c>
      <c r="C21" s="16" t="inlineStr">
        <is>
          <t>Cambridge Rugby Club</t>
        </is>
      </c>
      <c r="D21" s="16" t="inlineStr">
        <is>
          <t>Клуб</t>
        </is>
      </c>
      <c r="E21" s="17" t="n"/>
      <c r="F21" s="16" t="inlineStr">
        <is>
          <t>Регби, National League</t>
        </is>
      </c>
      <c r="G21" s="16" t="inlineStr">
        <is>
          <t>Центр</t>
        </is>
      </c>
      <c r="H21" s="16" t="inlineStr">
        <is>
          <t>HTML</t>
        </is>
      </c>
      <c r="I21" s="16" t="inlineStr">
        <is>
          <t>Еженедельно</t>
        </is>
      </c>
      <c r="J21" s="16" t="n">
        <v>2</v>
      </c>
      <c r="K21" s="17" t="inlineStr">
        <is>
          <t>проверить</t>
        </is>
      </c>
      <c r="L21" s="16" t="n"/>
    </row>
    <row r="22" ht="15" customHeight="1" s="11">
      <c r="A22" s="16" t="inlineStr">
        <is>
          <t>S021</t>
        </is>
      </c>
      <c r="B22" s="16" t="inlineStr">
        <is>
          <t>Спорт — смотреть</t>
        </is>
      </c>
      <c r="C22" s="16" t="inlineStr">
        <is>
          <t>Newmarket Racecourses</t>
        </is>
      </c>
      <c r="D22" s="16" t="inlineStr">
        <is>
          <t>Площадка</t>
        </is>
      </c>
      <c r="E22" s="16" t="inlineStr">
        <is>
          <t>https://www.thejockeyclub.co.uk/newmarket/events-tickets/</t>
        </is>
      </c>
      <c r="F22" s="16" t="inlineStr">
        <is>
          <t>Скачки, летние концерты Newmarket Nights</t>
        </is>
      </c>
      <c r="G22" s="16" t="inlineStr">
        <is>
          <t>30 мин</t>
        </is>
      </c>
      <c r="H22" s="16" t="inlineStr">
        <is>
          <t>JSON-LD</t>
        </is>
      </c>
      <c r="I22" s="16" t="inlineStr">
        <is>
          <t>Еженедельно</t>
        </is>
      </c>
      <c r="J22" s="16" t="n">
        <v>1</v>
      </c>
      <c r="K22" s="16" t="inlineStr">
        <is>
          <t>да</t>
        </is>
      </c>
      <c r="L22" s="16" t="inlineStr">
        <is>
          <t>Сайт Jockey Club</t>
        </is>
      </c>
      <c r="M22" t="inlineStr">
        <is>
          <t>https://www.thejockeyclub.co.uk/newmarket/events-tickets/</t>
        </is>
      </c>
      <c r="N22" t="inlineStr">
        <is>
          <t>разрешено</t>
        </is>
      </c>
      <c r="O22" t="inlineStr">
        <is>
          <t>2026-09-27</t>
        </is>
      </c>
    </row>
    <row r="23" ht="15" customHeight="1" s="11">
      <c r="A23" s="16" t="inlineStr">
        <is>
          <t>S022</t>
        </is>
      </c>
      <c r="B23" s="16" t="inlineStr">
        <is>
          <t>Спорт — смотреть</t>
        </is>
      </c>
      <c r="C23" s="16" t="inlineStr">
        <is>
          <t>Huntingdon Racecourse</t>
        </is>
      </c>
      <c r="D23" s="16" t="inlineStr">
        <is>
          <t>Площадка</t>
        </is>
      </c>
      <c r="E23" s="17" t="n"/>
      <c r="F23" s="16" t="inlineStr">
        <is>
          <t>Скачки</t>
        </is>
      </c>
      <c r="G23" s="16" t="inlineStr">
        <is>
          <t>30 мин</t>
        </is>
      </c>
      <c r="H23" s="16" t="inlineStr">
        <is>
          <t>HTML</t>
        </is>
      </c>
      <c r="I23" s="16" t="inlineStr">
        <is>
          <t>Еженедельно</t>
        </is>
      </c>
      <c r="J23" s="16" t="n">
        <v>3</v>
      </c>
      <c r="K23" s="17" t="inlineStr">
        <is>
          <t>проверить</t>
        </is>
      </c>
      <c r="L23" s="16" t="inlineStr">
        <is>
          <t>Сайт Jockey Club</t>
        </is>
      </c>
    </row>
    <row r="24" ht="23.85" customHeight="1" s="11">
      <c r="A24" s="16" t="inlineStr">
        <is>
          <t>S023</t>
        </is>
      </c>
      <c r="B24" s="16" t="inlineStr">
        <is>
          <t>Спорт — смотреть</t>
        </is>
      </c>
      <c r="C24" s="16" t="inlineStr">
        <is>
          <t>CUCBC — May Bumps / Lent Bumps</t>
        </is>
      </c>
      <c r="D24" s="16" t="inlineStr">
        <is>
          <t>Организатор</t>
        </is>
      </c>
      <c r="E24" s="17" t="n"/>
      <c r="F24" s="16" t="inlineStr">
        <is>
          <t>Университетские гонки гребных лодок: Lent Bumps (февраль–март) и May Bumps (июнь)</t>
        </is>
      </c>
      <c r="G24" s="16" t="inlineStr">
        <is>
          <t>Центр</t>
        </is>
      </c>
      <c r="H24" s="16" t="inlineStr">
        <is>
          <t>HTML</t>
        </is>
      </c>
      <c r="I24" s="16" t="inlineStr">
        <is>
          <t>Сезонно</t>
        </is>
      </c>
      <c r="J24" s="16" t="n">
        <v>2</v>
      </c>
      <c r="K24" s="17" t="inlineStr">
        <is>
          <t>проверить</t>
        </is>
      </c>
      <c r="L24" s="16" t="n"/>
    </row>
    <row r="25" ht="23.85" customHeight="1" s="11">
      <c r="A25" s="16" t="inlineStr">
        <is>
          <t>S024</t>
        </is>
      </c>
      <c r="B25" s="16" t="inlineStr">
        <is>
          <t>Спорт — смотреть</t>
        </is>
      </c>
      <c r="C25" s="16" t="inlineStr">
        <is>
          <t>Town Bumps (Cambridgeshire Rowing Association)</t>
        </is>
      </c>
      <c r="D25" s="16" t="inlineStr">
        <is>
          <t>Организатор</t>
        </is>
      </c>
      <c r="E25" s="17" t="n"/>
      <c r="F25" s="16" t="inlineStr">
        <is>
          <t>Городские гонки гребных лодок, лето</t>
        </is>
      </c>
      <c r="G25" s="16" t="inlineStr">
        <is>
          <t>Центр</t>
        </is>
      </c>
      <c r="H25" s="16" t="inlineStr">
        <is>
          <t>HTML</t>
        </is>
      </c>
      <c r="I25" s="16" t="inlineStr">
        <is>
          <t>Сезонно</t>
        </is>
      </c>
      <c r="J25" s="16" t="n">
        <v>3</v>
      </c>
      <c r="K25" s="17" t="inlineStr">
        <is>
          <t>проверить</t>
        </is>
      </c>
      <c r="L25" s="16" t="n"/>
    </row>
    <row r="26" ht="15" customHeight="1" s="11">
      <c r="A26" s="16" t="inlineStr">
        <is>
          <t>S025</t>
        </is>
      </c>
      <c r="B26" s="16" t="inlineStr">
        <is>
          <t>Спорт — смотреть</t>
        </is>
      </c>
      <c r="C26" s="16" t="inlineStr">
        <is>
          <t>Varsity-матчи (Oxford vs Cambridge)</t>
        </is>
      </c>
      <c r="D26" s="16" t="inlineStr">
        <is>
          <t>Организатор</t>
        </is>
      </c>
      <c r="E26" s="17" t="n"/>
      <c r="F26" s="16" t="inlineStr">
        <is>
          <t>Регби, гребля и др. дерби университетов</t>
        </is>
      </c>
      <c r="G26" s="16" t="inlineStr">
        <is>
          <t>Центр + Лондон</t>
        </is>
      </c>
      <c r="H26" s="16" t="inlineStr">
        <is>
          <t>Ручной (календарь)</t>
        </is>
      </c>
      <c r="I26" s="16" t="inlineStr">
        <is>
          <t>Ежегодно</t>
        </is>
      </c>
      <c r="J26" s="16" t="n">
        <v>3</v>
      </c>
      <c r="K26" s="17" t="inlineStr">
        <is>
          <t>проверить</t>
        </is>
      </c>
      <c r="L26" s="16" t="n"/>
    </row>
    <row r="27" ht="15" customHeight="1" s="11">
      <c r="A27" s="16" t="inlineStr">
        <is>
          <t>S026</t>
        </is>
      </c>
      <c r="B27" s="16" t="inlineStr">
        <is>
          <t>Спорт — участвовать</t>
        </is>
      </c>
      <c r="C27" s="16" t="inlineStr">
        <is>
          <t>Chariots of Fire</t>
        </is>
      </c>
      <c r="D27" s="16" t="inlineStr">
        <is>
          <t>Организатор</t>
        </is>
      </c>
      <c r="E27" s="16" t="inlineStr">
        <is>
          <t>https://www.chariots-of-fire.co.uk/</t>
        </is>
      </c>
      <c r="F27" s="16" t="inlineStr">
        <is>
          <t>Благотворительная эстафета, сентябрь</t>
        </is>
      </c>
      <c r="G27" s="16" t="inlineStr">
        <is>
          <t>Центр</t>
        </is>
      </c>
      <c r="H27" s="16" t="inlineStr">
        <is>
          <t>JSON-LD (RunThrough)</t>
        </is>
      </c>
      <c r="I27" s="16" t="inlineStr">
        <is>
          <t>Ежегодно</t>
        </is>
      </c>
      <c r="J27" s="16" t="n">
        <v>1</v>
      </c>
      <c r="K27" s="16" t="inlineStr">
        <is>
          <t>да</t>
        </is>
      </c>
      <c r="L27" s="16" t="inlineStr">
        <is>
          <t>Регистрация через RunThrough. v0.4: ежегодно; JSON-LD Event на странице RunThrough; /feed/ сайта — новости</t>
        </is>
      </c>
      <c r="M27" t="inlineStr">
        <is>
          <t>https://www.runthrough.co.uk/event/chariots-of-fire-september-2026</t>
        </is>
      </c>
      <c r="N27" t="inlineStr">
        <is>
          <t>разрешено</t>
        </is>
      </c>
      <c r="O27" t="inlineStr">
        <is>
          <t>2026-09-27</t>
        </is>
      </c>
    </row>
    <row r="28" ht="23.85" customHeight="1" s="11">
      <c r="A28" s="16" t="inlineStr">
        <is>
          <t>S027</t>
        </is>
      </c>
      <c r="B28" s="16" t="inlineStr">
        <is>
          <t>Спорт — участвовать</t>
        </is>
      </c>
      <c r="C28" s="16" t="inlineStr">
        <is>
          <t>RunThrough — события в Кембридже</t>
        </is>
      </c>
      <c r="D28" s="16" t="inlineStr">
        <is>
          <t>Организатор / регистрация</t>
        </is>
      </c>
      <c r="E28" s="16" t="inlineStr">
        <is>
          <t>https://www.runthrough.co.uk</t>
        </is>
      </c>
      <c r="F28" s="16" t="inlineStr">
        <is>
          <t>Забеги, эстафеты</t>
        </is>
      </c>
      <c r="G28" s="16" t="inlineStr">
        <is>
          <t>Центр + 30 мин</t>
        </is>
      </c>
      <c r="H28" s="16" t="inlineStr">
        <is>
          <t>HTML</t>
        </is>
      </c>
      <c r="I28" s="16" t="inlineStr">
        <is>
          <t>Еженедельно</t>
        </is>
      </c>
      <c r="J28" s="16" t="n">
        <v>2</v>
      </c>
      <c r="K28" s="16" t="inlineStr">
        <is>
          <t>да</t>
        </is>
      </c>
      <c r="L28" s="16" t="n"/>
    </row>
    <row r="29" ht="15" customHeight="1" s="11">
      <c r="A29" s="16" t="inlineStr">
        <is>
          <t>S028</t>
        </is>
      </c>
      <c r="B29" s="16" t="inlineStr">
        <is>
          <t>Спорт — участвовать</t>
        </is>
      </c>
      <c r="C29" s="16" t="inlineStr">
        <is>
          <t>Cambridge Half Marathon</t>
        </is>
      </c>
      <c r="D29" s="16" t="inlineStr">
        <is>
          <t>Организатор</t>
        </is>
      </c>
      <c r="E29" s="16" t="inlineStr">
        <is>
          <t>https://cambridgehalfmarathon.com/</t>
        </is>
      </c>
      <c r="F29" s="16" t="inlineStr">
        <is>
          <t>Полумарафон, март</t>
        </is>
      </c>
      <c r="G29" s="16" t="inlineStr">
        <is>
          <t>Центр</t>
        </is>
      </c>
      <c r="H29" s="16" t="inlineStr">
        <is>
          <t>HTML</t>
        </is>
      </c>
      <c r="I29" s="16" t="inlineStr">
        <is>
          <t>Ежегодно</t>
        </is>
      </c>
      <c r="J29" s="16" t="n">
        <v>1</v>
      </c>
      <c r="K29" s="16" t="inlineStr">
        <is>
          <t>да</t>
        </is>
      </c>
      <c r="L29" s="16" t="inlineStr">
        <is>
          <t>Важен и для рубрики «Практическое» — перекрытия</t>
        </is>
      </c>
      <c r="M29" t="inlineStr">
        <is>
          <t>https://cambridgehalfmarathon.com/</t>
        </is>
      </c>
      <c r="N29" t="inlineStr">
        <is>
          <t>разрешено</t>
        </is>
      </c>
      <c r="O29" t="inlineStr">
        <is>
          <t>2026-09-27</t>
        </is>
      </c>
    </row>
    <row r="30" ht="23.85" customHeight="1" s="11">
      <c r="A30" s="16" t="inlineStr">
        <is>
          <t>S029</t>
        </is>
      </c>
      <c r="B30" s="16" t="inlineStr">
        <is>
          <t>Спорт — участвовать</t>
        </is>
      </c>
      <c r="C30" s="16" t="inlineStr">
        <is>
          <t>Let's Do This — Cambridgeshire</t>
        </is>
      </c>
      <c r="D30" s="16" t="inlineStr">
        <is>
          <t>Агрегатор / регистрация</t>
        </is>
      </c>
      <c r="E30" s="16" t="inlineStr">
        <is>
          <t>https://www.letsdothis.com</t>
        </is>
      </c>
      <c r="F30" s="16" t="inlineStr">
        <is>
          <t>Забеги, триатлоны, велозаезды</t>
        </is>
      </c>
      <c r="G30" s="16" t="inlineStr">
        <is>
          <t>Час</t>
        </is>
      </c>
      <c r="H30" s="16" t="inlineStr">
        <is>
          <t>HTML</t>
        </is>
      </c>
      <c r="I30" s="16" t="inlineStr">
        <is>
          <t>Еженедельно</t>
        </is>
      </c>
      <c r="J30" s="16" t="n">
        <v>2</v>
      </c>
      <c r="K30" s="16" t="inlineStr">
        <is>
          <t>да</t>
        </is>
      </c>
      <c r="L30" s="16" t="n"/>
    </row>
    <row r="31" ht="15" customHeight="1" s="11">
      <c r="A31" s="16" t="inlineStr">
        <is>
          <t>S030</t>
        </is>
      </c>
      <c r="B31" s="16" t="inlineStr">
        <is>
          <t>Фестивали</t>
        </is>
      </c>
      <c r="C31" s="16" t="inlineStr">
        <is>
          <t>Cambridge Festival (университет)</t>
        </is>
      </c>
      <c r="D31" s="16" t="inlineStr">
        <is>
          <t>Организатор</t>
        </is>
      </c>
      <c r="E31" s="16" t="inlineStr">
        <is>
          <t>https://www.festival.cam.ac.uk/events</t>
        </is>
      </c>
      <c r="F31" s="16" t="inlineStr">
        <is>
          <t>Наука, гуманитарные темы, весна</t>
        </is>
      </c>
      <c r="G31" s="16" t="inlineStr">
        <is>
          <t>Центр</t>
        </is>
      </c>
      <c r="H31" s="16" t="inlineStr">
        <is>
          <t>HTML</t>
        </is>
      </c>
      <c r="I31" s="16" t="inlineStr">
        <is>
          <t>Сезонно</t>
        </is>
      </c>
      <c r="J31" s="16" t="n">
        <v>1</v>
      </c>
      <c r="K31" s="16" t="inlineStr">
        <is>
          <t>да</t>
        </is>
      </c>
      <c r="L31" s="16" t="inlineStr">
        <is>
          <t>v0.4: фестиваль в марте; часть событий дублируется в talks.cam</t>
        </is>
      </c>
      <c r="M31" t="inlineStr">
        <is>
          <t>https://www.festival.cam.ac.uk/events</t>
        </is>
      </c>
      <c r="N31" t="inlineStr">
        <is>
          <t>разрешено, Crawl-delay 10</t>
        </is>
      </c>
      <c r="O31" t="inlineStr">
        <is>
          <t>2026-09-27</t>
        </is>
      </c>
    </row>
    <row r="32" ht="15" customHeight="1" s="11">
      <c r="A32" s="16" t="inlineStr">
        <is>
          <t>S031</t>
        </is>
      </c>
      <c r="B32" s="16" t="inlineStr">
        <is>
          <t>Фестивали</t>
        </is>
      </c>
      <c r="C32" s="16" t="inlineStr">
        <is>
          <t>Cambridge Folk Festival</t>
        </is>
      </c>
      <c r="D32" s="16" t="inlineStr">
        <is>
          <t>Организатор</t>
        </is>
      </c>
      <c r="E32" s="16" t="inlineStr">
        <is>
          <t>https://www.cambridgefolkfestival.co.uk/</t>
        </is>
      </c>
      <c r="F32" s="16" t="inlineStr">
        <is>
          <t>Фолк-фестиваль, лето</t>
        </is>
      </c>
      <c r="G32" s="16" t="inlineStr">
        <is>
          <t>Центр</t>
        </is>
      </c>
      <c r="H32" s="16" t="inlineStr">
        <is>
          <t>HTML</t>
        </is>
      </c>
      <c r="I32" s="16" t="inlineStr">
        <is>
          <t>Ежегодно</t>
        </is>
      </c>
      <c r="J32" s="16" t="n">
        <v>1</v>
      </c>
      <c r="K32" s="16" t="inlineStr">
        <is>
          <t>да</t>
        </is>
      </c>
      <c r="L32" s="16" t="inlineStr">
        <is>
          <t>v0.4: ежегодно; cambridgelive.org.uk/folk-festival → cambridgefolkfestival.co.uk</t>
        </is>
      </c>
      <c r="M32" t="inlineStr">
        <is>
          <t>https://www.cambridgefolkfestival.co.uk/</t>
        </is>
      </c>
      <c r="N32" t="inlineStr">
        <is>
          <t>разрешено</t>
        </is>
      </c>
      <c r="O32" t="inlineStr">
        <is>
          <t>2026-09-27</t>
        </is>
      </c>
    </row>
    <row r="33" ht="15" customHeight="1" s="11">
      <c r="A33" s="16" t="inlineStr">
        <is>
          <t>S032</t>
        </is>
      </c>
      <c r="B33" s="16" t="inlineStr">
        <is>
          <t>Фестивали</t>
        </is>
      </c>
      <c r="C33" s="16" t="inlineStr">
        <is>
          <t>Cambridge Beer Festival</t>
        </is>
      </c>
      <c r="D33" s="16" t="inlineStr">
        <is>
          <t>Организатор</t>
        </is>
      </c>
      <c r="E33" s="16" t="inlineStr">
        <is>
          <t>https://www.cambridgebeerfestival.com</t>
        </is>
      </c>
      <c r="F33" s="16" t="inlineStr">
        <is>
          <t>Пивной фестиваль CAMRA, май</t>
        </is>
      </c>
      <c r="G33" s="16" t="inlineStr">
        <is>
          <t>Центр</t>
        </is>
      </c>
      <c r="H33" s="16" t="inlineStr">
        <is>
          <t>iCal</t>
        </is>
      </c>
      <c r="I33" s="16" t="inlineStr">
        <is>
          <t>Ежегодно</t>
        </is>
      </c>
      <c r="J33" s="16" t="n">
        <v>1</v>
      </c>
      <c r="K33" s="16" t="inlineStr">
        <is>
          <t>да</t>
        </is>
      </c>
      <c r="L33" s="16" t="n"/>
      <c r="M33" t="inlineStr">
        <is>
          <t>https://www.cambridgebeerfestival.com/events/?ical=1</t>
        </is>
      </c>
      <c r="N33" t="inlineStr">
        <is>
          <t>разрешено</t>
        </is>
      </c>
      <c r="O33" t="inlineStr">
        <is>
          <t>2026-09-27</t>
        </is>
      </c>
    </row>
    <row r="34" ht="23.85" customHeight="1" s="11">
      <c r="A34" s="16" t="inlineStr">
        <is>
          <t>S033</t>
        </is>
      </c>
      <c r="B34" s="16" t="inlineStr">
        <is>
          <t>Фестивали</t>
        </is>
      </c>
      <c r="C34" s="16" t="inlineStr">
        <is>
          <t>Strawberry Fair</t>
        </is>
      </c>
      <c r="D34" s="16" t="inlineStr">
        <is>
          <t>Организатор</t>
        </is>
      </c>
      <c r="E34" s="16" t="inlineStr">
        <is>
          <t>https://strawberry-fair.org.uk/</t>
        </is>
      </c>
      <c r="F34" s="16" t="inlineStr">
        <is>
          <t>Бесплатный фестиваль на Midsummer Common, июнь</t>
        </is>
      </c>
      <c r="G34" s="16" t="inlineStr">
        <is>
          <t>Центр</t>
        </is>
      </c>
      <c r="H34" s="16" t="inlineStr">
        <is>
          <t>JSON-LD</t>
        </is>
      </c>
      <c r="I34" s="16" t="inlineStr">
        <is>
          <t>Ежегодно</t>
        </is>
      </c>
      <c r="J34" s="16" t="n">
        <v>1</v>
      </c>
      <c r="K34" s="16" t="inlineStr">
        <is>
          <t>да</t>
        </is>
      </c>
      <c r="L34" s="16" t="inlineStr">
        <is>
          <t>Бывали отмены — мониторить. v0.4: JSON-LD Event на главной; /feed/ отдаёт HTML, фида нет</t>
        </is>
      </c>
      <c r="M34" t="inlineStr">
        <is>
          <t>https://strawberry-fair.org.uk/</t>
        </is>
      </c>
      <c r="N34" t="inlineStr">
        <is>
          <t>разрешено</t>
        </is>
      </c>
      <c r="O34" t="inlineStr">
        <is>
          <t>2026-09-27</t>
        </is>
      </c>
    </row>
    <row r="35" ht="15" customHeight="1" s="11">
      <c r="A35" s="16" t="inlineStr">
        <is>
          <t>S034</t>
        </is>
      </c>
      <c r="B35" s="16" t="inlineStr">
        <is>
          <t>Фестивали</t>
        </is>
      </c>
      <c r="C35" s="16" t="inlineStr">
        <is>
          <t>Whittlesea Straw Bear Festival</t>
        </is>
      </c>
      <c r="D35" s="16" t="inlineStr">
        <is>
          <t>Организатор</t>
        </is>
      </c>
      <c r="E35" s="17" t="n"/>
      <c r="F35" s="16" t="inlineStr">
        <is>
          <t>Средневековый зимний фестиваль, январь</t>
        </is>
      </c>
      <c r="G35" s="16" t="inlineStr">
        <is>
          <t>Час</t>
        </is>
      </c>
      <c r="H35" s="16" t="inlineStr">
        <is>
          <t>Ручной + Peterborough Telegraph</t>
        </is>
      </c>
      <c r="I35" s="16" t="inlineStr">
        <is>
          <t>Ежегодно</t>
        </is>
      </c>
      <c r="J35" s="16" t="n">
        <v>2</v>
      </c>
      <c r="K35" s="17" t="inlineStr">
        <is>
          <t>проверить</t>
        </is>
      </c>
      <c r="L35" s="16" t="n"/>
    </row>
    <row r="36" ht="15" customHeight="1" s="11">
      <c r="A36" s="16" t="inlineStr">
        <is>
          <t>S035</t>
        </is>
      </c>
      <c r="B36" s="16" t="inlineStr">
        <is>
          <t>Фестивали</t>
        </is>
      </c>
      <c r="C36" s="16" t="inlineStr">
        <is>
          <t>Cambridge Film Festival</t>
        </is>
      </c>
      <c r="D36" s="16" t="inlineStr">
        <is>
          <t>Организатор</t>
        </is>
      </c>
      <c r="E36" s="17" t="n"/>
      <c r="F36" s="16" t="inlineStr">
        <is>
          <t>Кинофестиваль, осень</t>
        </is>
      </c>
      <c r="G36" s="16" t="inlineStr">
        <is>
          <t>Центр</t>
        </is>
      </c>
      <c r="H36" s="16" t="inlineStr">
        <is>
          <t>Ручной (ежегодно)</t>
        </is>
      </c>
      <c r="I36" s="16" t="inlineStr">
        <is>
          <t>Ежегодно</t>
        </is>
      </c>
      <c r="J36" s="16" t="n">
        <v>2</v>
      </c>
      <c r="K36" s="17" t="inlineStr">
        <is>
          <t>проверить</t>
        </is>
      </c>
      <c r="L36" s="16" t="n"/>
    </row>
    <row r="37" ht="15" customHeight="1" s="11">
      <c r="A37" s="16" t="inlineStr">
        <is>
          <t>S036</t>
        </is>
      </c>
      <c r="B37" s="16" t="inlineStr">
        <is>
          <t>Фестивали</t>
        </is>
      </c>
      <c r="C37" s="16" t="inlineStr">
        <is>
          <t>Cambridge Literary Festival</t>
        </is>
      </c>
      <c r="D37" s="16" t="inlineStr">
        <is>
          <t>Организатор</t>
        </is>
      </c>
      <c r="E37" s="17" t="n"/>
      <c r="F37" s="16" t="inlineStr">
        <is>
          <t>Литфестиваль, весна и осень</t>
        </is>
      </c>
      <c r="G37" s="16" t="inlineStr">
        <is>
          <t>Центр</t>
        </is>
      </c>
      <c r="H37" s="16" t="inlineStr">
        <is>
          <t>HTML</t>
        </is>
      </c>
      <c r="I37" s="16" t="inlineStr">
        <is>
          <t>Сезонно</t>
        </is>
      </c>
      <c r="J37" s="16" t="n">
        <v>2</v>
      </c>
      <c r="K37" s="17" t="inlineStr">
        <is>
          <t>проверить</t>
        </is>
      </c>
      <c r="L37" s="16" t="n"/>
    </row>
    <row r="38" ht="23.85" customHeight="1" s="11">
      <c r="A38" s="16" t="inlineStr">
        <is>
          <t>S037</t>
        </is>
      </c>
      <c r="B38" s="16" t="inlineStr">
        <is>
          <t>Фестивали</t>
        </is>
      </c>
      <c r="C38" s="16" t="inlineStr">
        <is>
          <t>Cambridge Science Festival / семейные программы</t>
        </is>
      </c>
      <c r="D38" s="16" t="inlineStr">
        <is>
          <t>Организатор</t>
        </is>
      </c>
      <c r="E38" s="17" t="n"/>
      <c r="F38" s="16" t="inlineStr">
        <is>
          <t>См. Cambridge Festival</t>
        </is>
      </c>
      <c r="G38" s="16" t="inlineStr">
        <is>
          <t>Центр</t>
        </is>
      </c>
      <c r="H38" s="16" t="inlineStr">
        <is>
          <t>—</t>
        </is>
      </c>
      <c r="I38" s="16" t="inlineStr">
        <is>
          <t>—</t>
        </is>
      </c>
      <c r="J38" s="16" t="n">
        <v>3</v>
      </c>
      <c r="K38" s="17" t="inlineStr">
        <is>
          <t>проверить</t>
        </is>
      </c>
      <c r="L38" s="16" t="inlineStr">
        <is>
          <t>Дубль — проверить, не слит ли с Cambridge Festival</t>
        </is>
      </c>
    </row>
    <row r="39" ht="23.85" customHeight="1" s="11">
      <c r="A39" s="16" t="inlineStr">
        <is>
          <t>S038</t>
        </is>
      </c>
      <c r="B39" s="16" t="inlineStr">
        <is>
          <t>Ярмарки</t>
        </is>
      </c>
      <c r="C39" s="16" t="inlineStr">
        <is>
          <t>Mill Road Winter Fair</t>
        </is>
      </c>
      <c r="D39" s="16" t="inlineStr">
        <is>
          <t>Организатор</t>
        </is>
      </c>
      <c r="E39" s="16" t="inlineStr">
        <is>
          <t>https://www.millroadwinterfair.org</t>
        </is>
      </c>
      <c r="F39" s="16" t="inlineStr">
        <is>
          <t>Уличная ярмарка, первая суббота декабря; Mill Road Fringe в течение года</t>
        </is>
      </c>
      <c r="G39" s="16" t="inlineStr">
        <is>
          <t>Центр</t>
        </is>
      </c>
      <c r="H39" s="16" t="inlineStr">
        <is>
          <t>RSS</t>
        </is>
      </c>
      <c r="I39" s="16" t="inlineStr">
        <is>
          <t>Еженедельно в сезон</t>
        </is>
      </c>
      <c r="J39" s="16" t="n">
        <v>1</v>
      </c>
      <c r="K39" s="16" t="inlineStr">
        <is>
          <t>да</t>
        </is>
      </c>
      <c r="L39" s="16" t="inlineStr">
        <is>
          <t>Отмены публикуются в соцсетях — нужен контур отмен. v0.4: RSS — новости ярмарки; дату (5.12.2026) и отмены сверять по главной</t>
        </is>
      </c>
      <c r="M39" t="inlineStr">
        <is>
          <t>https://www.millroadwinterfair.org/feed/</t>
        </is>
      </c>
      <c r="N39" t="inlineStr">
        <is>
          <t>разрешено</t>
        </is>
      </c>
      <c r="O39" t="inlineStr">
        <is>
          <t>2026-09-27</t>
        </is>
      </c>
    </row>
    <row r="40" ht="15" customHeight="1" s="11">
      <c r="A40" s="16" t="inlineStr">
        <is>
          <t>S039</t>
        </is>
      </c>
      <c r="B40" s="16" t="inlineStr">
        <is>
          <t>Ярмарки</t>
        </is>
      </c>
      <c r="C40" s="16" t="inlineStr">
        <is>
          <t>Рождественские маркеты в центре</t>
        </is>
      </c>
      <c r="D40" s="16" t="inlineStr">
        <is>
          <t>Организатор</t>
        </is>
      </c>
      <c r="E40" s="16" t="inlineStr">
        <is>
          <t>https://www.christmasincambridge.co.uk/</t>
        </is>
      </c>
      <c r="F40" s="16" t="inlineStr">
        <is>
          <t>Сезонные рынки</t>
        </is>
      </c>
      <c r="G40" s="16" t="inlineStr">
        <is>
          <t>Центр</t>
        </is>
      </c>
      <c r="H40" s="16" t="inlineStr">
        <is>
          <t>HTML</t>
        </is>
      </c>
      <c r="I40" s="16" t="inlineStr">
        <is>
          <t>Сезонно</t>
        </is>
      </c>
      <c r="J40" s="16" t="n">
        <v>1</v>
      </c>
      <c r="K40" s="16" t="inlineStr">
        <is>
          <t>да</t>
        </is>
      </c>
      <c r="L40" s="16" t="inlineStr">
        <is>
          <t>v0.4: сезонно (ноябрь–декабрь); фидов нет</t>
        </is>
      </c>
      <c r="M40" t="inlineStr">
        <is>
          <t>https://www.christmasincambridge.co.uk/</t>
        </is>
      </c>
      <c r="N40" t="inlineStr">
        <is>
          <t>разрешено</t>
        </is>
      </c>
      <c r="O40" t="inlineStr">
        <is>
          <t>2026-09-27</t>
        </is>
      </c>
    </row>
    <row r="41" ht="23.85" customHeight="1" s="11">
      <c r="A41" s="16" t="inlineStr">
        <is>
          <t>S040</t>
        </is>
      </c>
      <c r="B41" s="16" t="inlineStr">
        <is>
          <t>Ярмарки</t>
        </is>
      </c>
      <c r="C41" s="16" t="inlineStr">
        <is>
          <t>Деревенские fetes и летние ярмарки</t>
        </is>
      </c>
      <c r="D41" s="16" t="inlineStr">
        <is>
          <t>Организатор</t>
        </is>
      </c>
      <c r="E41" s="17" t="n"/>
      <c r="F41" s="16" t="inlineStr">
        <is>
          <t>Village fetes вокруг Кембриджа</t>
        </is>
      </c>
      <c r="G41" s="16" t="inlineStr">
        <is>
          <t>30 мин</t>
        </is>
      </c>
      <c r="H41" s="16" t="inlineStr">
        <is>
          <t>Eventbrite / Visit Cambridge / FB-группы вручную</t>
        </is>
      </c>
      <c r="I41" s="16" t="inlineStr">
        <is>
          <t>Сезонно</t>
        </is>
      </c>
      <c r="J41" s="16" t="n">
        <v>3</v>
      </c>
      <c r="K41" s="17" t="inlineStr">
        <is>
          <t>проверить</t>
        </is>
      </c>
      <c r="L41" s="16" t="inlineStr">
        <is>
          <t>Трудно собрать автоматически</t>
        </is>
      </c>
    </row>
    <row r="42" ht="15" customHeight="1" s="11">
      <c r="A42" s="16" t="inlineStr">
        <is>
          <t>S041</t>
        </is>
      </c>
      <c r="B42" s="16" t="inlineStr">
        <is>
          <t>Театр</t>
        </is>
      </c>
      <c r="C42" s="16" t="inlineStr">
        <is>
          <t>Cambridge Arts Theatre</t>
        </is>
      </c>
      <c r="D42" s="16" t="inlineStr">
        <is>
          <t>Площадка</t>
        </is>
      </c>
      <c r="E42" s="18" t="inlineStr">
        <is>
          <t>https://www.artstheatre.co.uk</t>
        </is>
      </c>
      <c r="F42" s="16" t="inlineStr">
        <is>
          <t>Драма, мюзиклы, пантомима</t>
        </is>
      </c>
      <c r="G42" s="16" t="inlineStr">
        <is>
          <t>Центр</t>
        </is>
      </c>
      <c r="H42" s="16" t="inlineStr">
        <is>
          <t>HTML (блок Cloudflare)</t>
        </is>
      </c>
      <c r="I42" s="16" t="inlineStr">
        <is>
          <t>Ежедневно</t>
        </is>
      </c>
      <c r="J42" s="16" t="n">
        <v>1</v>
      </c>
      <c r="K42" s="18" t="inlineStr">
        <is>
          <t>проверить</t>
        </is>
      </c>
      <c r="L42" s="16" t="inlineStr">
        <is>
          <t>v0.4: домен сменился: cambridgeartstheatre.com → artstheatre.co.uk; сайт закрыт для ботов — брать через агрегаторы (Ents24, Visit Cambridge) или спросить разрешения</t>
        </is>
      </c>
      <c r="N42" t="inlineStr">
        <is>
          <t>разрешено</t>
        </is>
      </c>
      <c r="O42" t="inlineStr">
        <is>
          <t>2026-09-27</t>
        </is>
      </c>
    </row>
    <row r="43" ht="15" customHeight="1" s="11">
      <c r="A43" s="16" t="inlineStr">
        <is>
          <t>S042</t>
        </is>
      </c>
      <c r="B43" s="16" t="inlineStr">
        <is>
          <t>Театр</t>
        </is>
      </c>
      <c r="C43" s="16" t="inlineStr">
        <is>
          <t>ADC Theatre</t>
        </is>
      </c>
      <c r="D43" s="16" t="inlineStr">
        <is>
          <t>Площадка</t>
        </is>
      </c>
      <c r="E43" s="16" t="inlineStr">
        <is>
          <t>https://www.adctheatre.com</t>
        </is>
      </c>
      <c r="F43" s="16" t="inlineStr">
        <is>
          <t>Студенческий театр, комедия (Footlights)</t>
        </is>
      </c>
      <c r="G43" s="16" t="inlineStr">
        <is>
          <t>Центр</t>
        </is>
      </c>
      <c r="H43" s="16" t="inlineStr">
        <is>
          <t>iCal</t>
        </is>
      </c>
      <c r="I43" s="16" t="inlineStr">
        <is>
          <t>Еженедельно</t>
        </is>
      </c>
      <c r="J43" s="16" t="n">
        <v>1</v>
      </c>
      <c r="K43" s="16" t="inlineStr">
        <is>
          <t>да</t>
        </is>
      </c>
      <c r="L43" s="16" t="inlineStr">
        <is>
          <t>Дёшево и часто — хорош для рубрики «недорого». v0.4: афиша ADC ведётся в Camdram: iCal /venues/adc-theatre/diary.ics и JSON diary.json; билеты — Spektrix</t>
        </is>
      </c>
      <c r="M43" t="inlineStr">
        <is>
          <t>https://www.camdram.net/venues/adc-theatre/diary.ics</t>
        </is>
      </c>
      <c r="N43" t="inlineStr">
        <is>
          <t>разрешено</t>
        </is>
      </c>
      <c r="O43" t="inlineStr">
        <is>
          <t>2026-09-27</t>
        </is>
      </c>
    </row>
    <row r="44" ht="15" customHeight="1" s="11">
      <c r="A44" s="16" t="inlineStr">
        <is>
          <t>S043</t>
        </is>
      </c>
      <c r="B44" s="16" t="inlineStr">
        <is>
          <t>Театр</t>
        </is>
      </c>
      <c r="C44" s="16" t="inlineStr">
        <is>
          <t>Mumford Theatre (ARU)</t>
        </is>
      </c>
      <c r="D44" s="16" t="inlineStr">
        <is>
          <t>Площадка</t>
        </is>
      </c>
      <c r="E44" s="17" t="n"/>
      <c r="F44" s="16" t="inlineStr">
        <is>
          <t>Любительский и гастрольный театр</t>
        </is>
      </c>
      <c r="G44" s="16" t="inlineStr">
        <is>
          <t>Центр</t>
        </is>
      </c>
      <c r="H44" s="16" t="inlineStr">
        <is>
          <t>HTML</t>
        </is>
      </c>
      <c r="I44" s="16" t="inlineStr">
        <is>
          <t>Еженедельно</t>
        </is>
      </c>
      <c r="J44" s="16" t="n">
        <v>3</v>
      </c>
      <c r="K44" s="17" t="inlineStr">
        <is>
          <t>проверить</t>
        </is>
      </c>
      <c r="L44" s="16" t="n"/>
    </row>
    <row r="45" ht="15" customHeight="1" s="11">
      <c r="A45" s="16" t="inlineStr">
        <is>
          <t>S044</t>
        </is>
      </c>
      <c r="B45" s="16" t="inlineStr">
        <is>
          <t>Театр</t>
        </is>
      </c>
      <c r="C45" s="16" t="inlineStr">
        <is>
          <t>Постановки в садах колледжей (лето)</t>
        </is>
      </c>
      <c r="D45" s="16" t="inlineStr">
        <is>
          <t>Организатор</t>
        </is>
      </c>
      <c r="E45" s="17" t="n"/>
      <c r="F45" s="16" t="inlineStr">
        <is>
          <t>Шекспир под открытым небом</t>
        </is>
      </c>
      <c r="G45" s="16" t="inlineStr">
        <is>
          <t>Центр</t>
        </is>
      </c>
      <c r="H45" s="16" t="inlineStr">
        <is>
          <t>Ручной</t>
        </is>
      </c>
      <c r="I45" s="16" t="inlineStr">
        <is>
          <t>Сезонно</t>
        </is>
      </c>
      <c r="J45" s="16" t="n">
        <v>2</v>
      </c>
      <c r="K45" s="17" t="inlineStr">
        <is>
          <t>проверить</t>
        </is>
      </c>
      <c r="L45" s="16" t="n"/>
    </row>
    <row r="46" ht="15" customHeight="1" s="11">
      <c r="A46" s="16" t="inlineStr">
        <is>
          <t>S045</t>
        </is>
      </c>
      <c r="B46" s="16" t="inlineStr">
        <is>
          <t>Кино</t>
        </is>
      </c>
      <c r="C46" s="16" t="inlineStr">
        <is>
          <t>Arts Picturehouse</t>
        </is>
      </c>
      <c r="D46" s="16" t="inlineStr">
        <is>
          <t>Площадка</t>
        </is>
      </c>
      <c r="E46" s="16" t="inlineStr">
        <is>
          <t>https://www.picturehouses.com/cinema/arts-picturehouse-cambridge</t>
        </is>
      </c>
      <c r="F46" s="16" t="inlineStr">
        <is>
          <t>Арт-кино, спецпоказы, Q&amp;A</t>
        </is>
      </c>
      <c r="G46" s="16" t="inlineStr">
        <is>
          <t>Центр</t>
        </is>
      </c>
      <c r="H46" s="16" t="inlineStr">
        <is>
          <t>HTML</t>
        </is>
      </c>
      <c r="I46" s="16" t="inlineStr">
        <is>
          <t>Еженедельно</t>
        </is>
      </c>
      <c r="J46" s="16" t="n">
        <v>1</v>
      </c>
      <c r="K46" s="16" t="inlineStr">
        <is>
          <t>да</t>
        </is>
      </c>
      <c r="L46" s="16" t="n"/>
      <c r="M46" t="inlineStr">
        <is>
          <t>https://www.picturehouses.com/cinema/arts-picturehouse-cambridge</t>
        </is>
      </c>
      <c r="N46" t="inlineStr">
        <is>
          <t>разрешено</t>
        </is>
      </c>
      <c r="O46" t="inlineStr">
        <is>
          <t>2026-09-27</t>
        </is>
      </c>
    </row>
    <row r="47" ht="15" customHeight="1" s="11">
      <c r="A47" s="16" t="inlineStr">
        <is>
          <t>S046</t>
        </is>
      </c>
      <c r="B47" s="16" t="inlineStr">
        <is>
          <t>Кино</t>
        </is>
      </c>
      <c r="C47" s="16" t="inlineStr">
        <is>
          <t>Кино под открытым небом (летние сезоны)</t>
        </is>
      </c>
      <c r="D47" s="16" t="inlineStr">
        <is>
          <t>Организатор</t>
        </is>
      </c>
      <c r="E47" s="17" t="n"/>
      <c r="F47" s="16" t="inlineStr">
        <is>
          <t>Летние показы в парках и колледжах</t>
        </is>
      </c>
      <c r="G47" s="16" t="inlineStr">
        <is>
          <t>Центр</t>
        </is>
      </c>
      <c r="H47" s="16" t="inlineStr">
        <is>
          <t>Ручной</t>
        </is>
      </c>
      <c r="I47" s="16" t="inlineStr">
        <is>
          <t>Сезонно</t>
        </is>
      </c>
      <c r="J47" s="16" t="n">
        <v>2</v>
      </c>
      <c r="K47" s="17" t="inlineStr">
        <is>
          <t>проверить</t>
        </is>
      </c>
      <c r="L47" s="16" t="n"/>
    </row>
    <row r="48" ht="23.85" customHeight="1" s="11">
      <c r="A48" s="16" t="inlineStr">
        <is>
          <t>S047</t>
        </is>
      </c>
      <c r="B48" s="16" t="inlineStr">
        <is>
          <t>Лекции</t>
        </is>
      </c>
      <c r="C48" s="16" t="inlineStr">
        <is>
          <t>Talks.cam</t>
        </is>
      </c>
      <c r="D48" s="16" t="inlineStr">
        <is>
          <t>Календарь</t>
        </is>
      </c>
      <c r="E48" s="16" t="inlineStr">
        <is>
          <t>https://talks.cam.ac.uk</t>
        </is>
      </c>
      <c r="F48" s="16" t="inlineStr">
        <is>
          <t>Университетские лекции и семинары; есть публичные списки</t>
        </is>
      </c>
      <c r="G48" s="16" t="inlineStr">
        <is>
          <t>Центр</t>
        </is>
      </c>
      <c r="H48" s="16" t="inlineStr">
        <is>
          <t>iCal</t>
        </is>
      </c>
      <c r="I48" s="16" t="inlineStr">
        <is>
          <t>Ежедневно</t>
        </is>
      </c>
      <c r="J48" s="16" t="n">
        <v>1</v>
      </c>
      <c r="K48" s="16" t="inlineStr">
        <is>
          <t>да</t>
        </is>
      </c>
      <c r="L48" s="16" t="inlineStr">
        <is>
          <t>Лучший технический источник: готовые фиды с датой, местом и организатором. v0.4: фиды есть у каждого списка: /show/ics|rss|xml/&lt;id&gt;; список 109 не существует, взят 5606 «Featured talks»; подбор тематических списков — этап 2</t>
        </is>
      </c>
      <c r="M48" t="inlineStr">
        <is>
          <t>https://talks.cam.ac.uk/show/ics/5606/</t>
        </is>
      </c>
      <c r="N48" t="inlineStr">
        <is>
          <t>разрешено</t>
        </is>
      </c>
      <c r="O48" t="inlineStr">
        <is>
          <t>2026-09-27</t>
        </is>
      </c>
    </row>
    <row r="49" ht="15" customHeight="1" s="11">
      <c r="A49" s="16" t="inlineStr">
        <is>
          <t>S048</t>
        </is>
      </c>
      <c r="B49" s="16" t="inlineStr">
        <is>
          <t>Лекции</t>
        </is>
      </c>
      <c r="C49" s="16" t="inlineStr">
        <is>
          <t>University of Cambridge — What's On</t>
        </is>
      </c>
      <c r="D49" s="16" t="inlineStr">
        <is>
          <t>Календарь</t>
        </is>
      </c>
      <c r="E49" s="16" t="inlineStr">
        <is>
          <t>https://www.admin.cam.ac.uk/whatson/</t>
        </is>
      </c>
      <c r="F49" s="16" t="inlineStr">
        <is>
          <t>Публичные события университета</t>
        </is>
      </c>
      <c r="G49" s="16" t="inlineStr">
        <is>
          <t>Центр</t>
        </is>
      </c>
      <c r="H49" s="16" t="inlineStr">
        <is>
          <t>HTML</t>
        </is>
      </c>
      <c r="I49" s="16" t="inlineStr">
        <is>
          <t>Еженедельно</t>
        </is>
      </c>
      <c r="J49" s="16" t="n">
        <v>1</v>
      </c>
      <c r="K49" s="16" t="inlineStr">
        <is>
          <t>да</t>
        </is>
      </c>
      <c r="L49" s="16" t="inlineStr">
        <is>
          <t>v0.4: страница даёт webcal-подписку, но хост фидов запрещает роботов в robots.txt — нужно решение: HTML или запрос разрешения</t>
        </is>
      </c>
      <c r="M49" t="inlineStr">
        <is>
          <t>https://www.admin.cam.ac.uk/whatson/</t>
        </is>
      </c>
      <c r="N49" t="inlineStr">
        <is>
          <t>разрешено (страница); фиды — запрещено</t>
        </is>
      </c>
      <c r="O49" t="inlineStr">
        <is>
          <t>2026-09-27</t>
        </is>
      </c>
    </row>
    <row r="50" ht="15" customHeight="1" s="11">
      <c r="A50" s="16" t="inlineStr">
        <is>
          <t>S049</t>
        </is>
      </c>
      <c r="B50" s="16" t="inlineStr">
        <is>
          <t>Лекции</t>
        </is>
      </c>
      <c r="C50" s="16" t="inlineStr">
        <is>
          <t>Cambridge Union</t>
        </is>
      </c>
      <c r="D50" s="16" t="inlineStr">
        <is>
          <t>Организатор</t>
        </is>
      </c>
      <c r="E50" s="17" t="n"/>
      <c r="F50" s="16" t="inlineStr">
        <is>
          <t>Дебаты и выступления известных гостей</t>
        </is>
      </c>
      <c r="G50" s="16" t="inlineStr">
        <is>
          <t>Центр</t>
        </is>
      </c>
      <c r="H50" s="16" t="inlineStr">
        <is>
          <t>HTML</t>
        </is>
      </c>
      <c r="I50" s="16" t="inlineStr">
        <is>
          <t>Еженедельно</t>
        </is>
      </c>
      <c r="J50" s="16" t="n">
        <v>2</v>
      </c>
      <c r="K50" s="17" t="inlineStr">
        <is>
          <t>проверить</t>
        </is>
      </c>
      <c r="L50" s="16" t="inlineStr">
        <is>
          <t>Часть событий только для членов</t>
        </is>
      </c>
    </row>
    <row r="51" ht="15" customHeight="1" s="11">
      <c r="A51" s="16" t="inlineStr">
        <is>
          <t>S050</t>
        </is>
      </c>
      <c r="B51" s="16" t="inlineStr">
        <is>
          <t>Выставки и музеи</t>
        </is>
      </c>
      <c r="C51" s="16" t="inlineStr">
        <is>
          <t>Fitzwilliam Museum</t>
        </is>
      </c>
      <c r="D51" s="16" t="inlineStr">
        <is>
          <t>Площадка</t>
        </is>
      </c>
      <c r="E51" s="16" t="inlineStr">
        <is>
          <t>https://fitzmuseum.cam.ac.uk/events</t>
        </is>
      </c>
      <c r="F51" s="16" t="inlineStr">
        <is>
          <t>Выставки, лекции, семейные программы</t>
        </is>
      </c>
      <c r="G51" s="16" t="inlineStr">
        <is>
          <t>Центр</t>
        </is>
      </c>
      <c r="H51" s="16" t="inlineStr">
        <is>
          <t>RSS (выставки) + HTML (события)</t>
        </is>
      </c>
      <c r="I51" s="16" t="inlineStr">
        <is>
          <t>Еженедельно</t>
        </is>
      </c>
      <c r="J51" s="16" t="n">
        <v>1</v>
      </c>
      <c r="K51" s="16" t="inlineStr">
        <is>
          <t>да</t>
        </is>
      </c>
      <c r="L51" s="16" t="inlineStr">
        <is>
          <t>v0.4: Atom-фид выставок (20 записей); события — HTML /events; /whats-on — 404</t>
        </is>
      </c>
      <c r="M51" t="inlineStr">
        <is>
          <t>https://fitzmuseum.cam.ac.uk/feeds/exhibitions</t>
        </is>
      </c>
      <c r="N51" t="inlineStr">
        <is>
          <t>разрешено</t>
        </is>
      </c>
      <c r="O51" t="inlineStr">
        <is>
          <t>2026-09-27</t>
        </is>
      </c>
    </row>
    <row r="52" ht="15" customHeight="1" s="11">
      <c r="A52" s="16" t="inlineStr">
        <is>
          <t>S051</t>
        </is>
      </c>
      <c r="B52" s="16" t="inlineStr">
        <is>
          <t>Выставки и музеи</t>
        </is>
      </c>
      <c r="C52" s="16" t="inlineStr">
        <is>
          <t>Kettle's Yard</t>
        </is>
      </c>
      <c r="D52" s="16" t="inlineStr">
        <is>
          <t>Площадка</t>
        </is>
      </c>
      <c r="E52" s="16" t="inlineStr">
        <is>
          <t>https://www.kettlesyard.cam.ac.uk/whats-on/</t>
        </is>
      </c>
      <c r="F52" s="16" t="inlineStr">
        <is>
          <t>Современное искусство, концерты, воркшопы</t>
        </is>
      </c>
      <c r="G52" s="16" t="inlineStr">
        <is>
          <t>Центр</t>
        </is>
      </c>
      <c r="H52" s="16" t="inlineStr">
        <is>
          <t>HTML</t>
        </is>
      </c>
      <c r="I52" s="16" t="inlineStr">
        <is>
          <t>Еженедельно</t>
        </is>
      </c>
      <c r="J52" s="16" t="n">
        <v>1</v>
      </c>
      <c r="K52" s="16" t="inlineStr">
        <is>
          <t>да</t>
        </is>
      </c>
      <c r="L52" s="16" t="inlineStr">
        <is>
          <t>v0.4: сайт переехал на kettlesyard.cam.ac.uk; старый kettlesyard.co.uk — чужой TLS-сертификат и Disallow: /; /feed/ — 500</t>
        </is>
      </c>
      <c r="M52" t="inlineStr">
        <is>
          <t>https://www.kettlesyard.cam.ac.uk/whats-on/</t>
        </is>
      </c>
      <c r="N52" t="inlineStr">
        <is>
          <t>разрешено</t>
        </is>
      </c>
      <c r="O52" t="inlineStr">
        <is>
          <t>2026-09-27</t>
        </is>
      </c>
    </row>
    <row r="53" ht="15" customHeight="1" s="11">
      <c r="A53" s="16" t="inlineStr">
        <is>
          <t>S052</t>
        </is>
      </c>
      <c r="B53" s="16" t="inlineStr">
        <is>
          <t>Выставки и музеи</t>
        </is>
      </c>
      <c r="C53" s="16" t="inlineStr">
        <is>
          <t>University of Cambridge Museums (сводный)</t>
        </is>
      </c>
      <c r="D53" s="16" t="inlineStr">
        <is>
          <t>Агрегатор</t>
        </is>
      </c>
      <c r="E53" s="16" t="inlineStr">
        <is>
          <t>https://www.museums.cam.ac.uk/whats-on</t>
        </is>
      </c>
      <c r="F53" s="16" t="inlineStr">
        <is>
          <t>Все университетские музеи, включая семейные</t>
        </is>
      </c>
      <c r="G53" s="16" t="inlineStr">
        <is>
          <t>Центр</t>
        </is>
      </c>
      <c r="H53" s="16" t="inlineStr">
        <is>
          <t>HTML</t>
        </is>
      </c>
      <c r="I53" s="16" t="inlineStr">
        <is>
          <t>Еженедельно</t>
        </is>
      </c>
      <c r="J53" s="16" t="n">
        <v>1</v>
      </c>
      <c r="K53" s="16" t="inlineStr">
        <is>
          <t>да</t>
        </is>
      </c>
      <c r="L53" s="16" t="inlineStr">
        <is>
          <t>v0.4: сводная афиша 8 музеев (Drupal), фидов и JSON-LD нет — HTML</t>
        </is>
      </c>
      <c r="M53" t="inlineStr">
        <is>
          <t>https://www.museums.cam.ac.uk/whats-on</t>
        </is>
      </c>
      <c r="N53" t="inlineStr">
        <is>
          <t>разрешено</t>
        </is>
      </c>
      <c r="O53" t="inlineStr">
        <is>
          <t>2026-09-27</t>
        </is>
      </c>
    </row>
    <row r="54" ht="15" customHeight="1" s="11">
      <c r="A54" s="16" t="inlineStr">
        <is>
          <t>S053</t>
        </is>
      </c>
      <c r="B54" s="16" t="inlineStr">
        <is>
          <t>Выставки и музеи</t>
        </is>
      </c>
      <c r="C54" s="16" t="inlineStr">
        <is>
          <t>IWM Duxford</t>
        </is>
      </c>
      <c r="D54" s="16" t="inlineStr">
        <is>
          <t>Площадка</t>
        </is>
      </c>
      <c r="E54" s="17" t="n"/>
      <c r="F54" s="16" t="inlineStr">
        <is>
          <t>Авиашоу и события</t>
        </is>
      </c>
      <c r="G54" s="16" t="inlineStr">
        <is>
          <t>30 мин</t>
        </is>
      </c>
      <c r="H54" s="16" t="inlineStr">
        <is>
          <t>HTML</t>
        </is>
      </c>
      <c r="I54" s="16" t="inlineStr">
        <is>
          <t>Еженедельно</t>
        </is>
      </c>
      <c r="J54" s="16" t="n">
        <v>2</v>
      </c>
      <c r="K54" s="17" t="inlineStr">
        <is>
          <t>проверить</t>
        </is>
      </c>
      <c r="L54" s="16" t="n"/>
    </row>
    <row r="55" ht="15" customHeight="1" s="11">
      <c r="A55" s="16" t="inlineStr">
        <is>
          <t>S054</t>
        </is>
      </c>
      <c r="B55" s="16" t="inlineStr">
        <is>
          <t>Детям и семьям</t>
        </is>
      </c>
      <c r="C55" s="16" t="inlineStr">
        <is>
          <t>Cambridge Science Centre</t>
        </is>
      </c>
      <c r="D55" s="16" t="inlineStr">
        <is>
          <t>Площадка</t>
        </is>
      </c>
      <c r="E55" s="17" t="n"/>
      <c r="F55" s="16" t="inlineStr">
        <is>
          <t>Детские научные программы</t>
        </is>
      </c>
      <c r="G55" s="16" t="inlineStr">
        <is>
          <t>Центр</t>
        </is>
      </c>
      <c r="H55" s="16" t="inlineStr">
        <is>
          <t>HTML</t>
        </is>
      </c>
      <c r="I55" s="16" t="inlineStr">
        <is>
          <t>Еженедельно</t>
        </is>
      </c>
      <c r="J55" s="16" t="n">
        <v>2</v>
      </c>
      <c r="K55" s="17" t="inlineStr">
        <is>
          <t>проверить</t>
        </is>
      </c>
      <c r="L55" s="16" t="n"/>
    </row>
    <row r="56" ht="15" customHeight="1" s="11">
      <c r="A56" s="16" t="inlineStr">
        <is>
          <t>S055</t>
        </is>
      </c>
      <c r="B56" s="16" t="inlineStr">
        <is>
          <t>Детям и семьям</t>
        </is>
      </c>
      <c r="C56" s="16" t="inlineStr">
        <is>
          <t>Библиотеки Cambridgeshire</t>
        </is>
      </c>
      <c r="D56" s="16" t="inlineStr">
        <is>
          <t>Организатор</t>
        </is>
      </c>
      <c r="E56" s="17" t="n"/>
      <c r="F56" s="16" t="inlineStr">
        <is>
          <t>Детские чтения, каникулярные программы</t>
        </is>
      </c>
      <c r="G56" s="16" t="inlineStr">
        <is>
          <t>Центр + 30 мин</t>
        </is>
      </c>
      <c r="H56" s="16" t="inlineStr">
        <is>
          <t>HTML</t>
        </is>
      </c>
      <c r="I56" s="16" t="inlineStr">
        <is>
          <t>Еженедельно</t>
        </is>
      </c>
      <c r="J56" s="16" t="n">
        <v>2</v>
      </c>
      <c r="K56" s="17" t="inlineStr">
        <is>
          <t>проверить</t>
        </is>
      </c>
      <c r="L56" s="16" t="inlineStr">
        <is>
          <t>Сайт county council</t>
        </is>
      </c>
    </row>
    <row r="57" ht="15" customHeight="1" s="11">
      <c r="A57" s="16" t="inlineStr">
        <is>
          <t>S056</t>
        </is>
      </c>
      <c r="B57" s="16" t="inlineStr">
        <is>
          <t>Детям и семьям</t>
        </is>
      </c>
      <c r="C57" s="16" t="inlineStr">
        <is>
          <t>Семейные программы музеев</t>
        </is>
      </c>
      <c r="D57" s="16" t="inlineStr">
        <is>
          <t>Агрегатор</t>
        </is>
      </c>
      <c r="E57" s="18" t="n"/>
      <c r="F57" s="16" t="inlineStr">
        <is>
          <t>См. University of Cambridge Museums</t>
        </is>
      </c>
      <c r="G57" s="16" t="inlineStr">
        <is>
          <t>Центр</t>
        </is>
      </c>
      <c r="H57" s="16" t="inlineStr">
        <is>
          <t>Производный (тег «дети»)</t>
        </is>
      </c>
      <c r="I57" s="16" t="inlineStr">
        <is>
          <t>—</t>
        </is>
      </c>
      <c r="J57" s="16" t="n">
        <v>1</v>
      </c>
      <c r="K57" s="18" t="inlineStr">
        <is>
          <t>проверить</t>
        </is>
      </c>
      <c r="L57" s="16" t="inlineStr">
        <is>
          <t>Тегировать «дети» из музейных источников. v0.4: отдельного сайта нет: тегировать «дети» события из S050, S051, S052, S069</t>
        </is>
      </c>
      <c r="N57" t="inlineStr">
        <is>
          <t>—</t>
        </is>
      </c>
      <c r="O57" t="inlineStr">
        <is>
          <t>2026-09-27</t>
        </is>
      </c>
    </row>
    <row r="58" ht="15" customHeight="1" s="11">
      <c r="A58" s="16" t="inlineStr">
        <is>
          <t>S057</t>
        </is>
      </c>
      <c r="B58" s="16" t="inlineStr">
        <is>
          <t>Еда и напитки</t>
        </is>
      </c>
      <c r="C58" s="16" t="inlineStr">
        <is>
          <t>Eat Cambridge</t>
        </is>
      </c>
      <c r="D58" s="16" t="inlineStr">
        <is>
          <t>Организатор</t>
        </is>
      </c>
      <c r="E58" s="17" t="n"/>
      <c r="F58" s="16" t="inlineStr">
        <is>
          <t>Фуд-фестиваль и сопутствующие события</t>
        </is>
      </c>
      <c r="G58" s="16" t="inlineStr">
        <is>
          <t>Центр</t>
        </is>
      </c>
      <c r="H58" s="16" t="inlineStr">
        <is>
          <t>HTML</t>
        </is>
      </c>
      <c r="I58" s="16" t="inlineStr">
        <is>
          <t>Сезонно</t>
        </is>
      </c>
      <c r="J58" s="16" t="n">
        <v>2</v>
      </c>
      <c r="K58" s="17" t="inlineStr">
        <is>
          <t>проверить</t>
        </is>
      </c>
      <c r="L58" s="16" t="n"/>
    </row>
    <row r="59" ht="23.85" customHeight="1" s="11">
      <c r="A59" s="16" t="inlineStr">
        <is>
          <t>S058</t>
        </is>
      </c>
      <c r="B59" s="16" t="inlineStr">
        <is>
          <t>Еда и напитки</t>
        </is>
      </c>
      <c r="C59" s="16" t="inlineStr">
        <is>
          <t>Открытия ресторанов</t>
        </is>
      </c>
      <c r="D59" s="16" t="inlineStr">
        <is>
          <t>СМИ</t>
        </is>
      </c>
      <c r="E59" s="17" t="n"/>
      <c r="F59" s="16" t="inlineStr">
        <is>
          <t>Через Cambridge Independent / Cambridge News</t>
        </is>
      </c>
      <c r="G59" s="16" t="inlineStr">
        <is>
          <t>Центр</t>
        </is>
      </c>
      <c r="H59" s="16" t="inlineStr">
        <is>
          <t>RSS СМИ</t>
        </is>
      </c>
      <c r="I59" s="16" t="inlineStr">
        <is>
          <t>Еженедельно</t>
        </is>
      </c>
      <c r="J59" s="16" t="n">
        <v>2</v>
      </c>
      <c r="K59" s="17" t="inlineStr">
        <is>
          <t>проверить</t>
        </is>
      </c>
      <c r="L59" s="16" t="inlineStr">
        <is>
          <t>Сами по себе СМИ ловят не всё — основной источник Cambridge Foodies (S-ниже)</t>
        </is>
      </c>
    </row>
    <row r="60" ht="15" customHeight="1" s="11">
      <c r="A60" s="16" t="inlineStr">
        <is>
          <t>S059</t>
        </is>
      </c>
      <c r="B60" s="16" t="inlineStr">
        <is>
          <t>Рынки и барахолки</t>
        </is>
      </c>
      <c r="C60" s="16" t="inlineStr">
        <is>
          <t>Cambridge Market (Market Square)</t>
        </is>
      </c>
      <c r="D60" s="16" t="inlineStr">
        <is>
          <t>Площадка</t>
        </is>
      </c>
      <c r="E60" s="16" t="inlineStr">
        <is>
          <t>https://www.cambridge.gov.uk</t>
        </is>
      </c>
      <c r="F60" s="16" t="inlineStr">
        <is>
          <t>Ежедневный рынок, воскресный фермерский</t>
        </is>
      </c>
      <c r="G60" s="16" t="inlineStr">
        <is>
          <t>Центр</t>
        </is>
      </c>
      <c r="H60" s="16" t="inlineStr">
        <is>
          <t>Ручной (стабильное расписание)</t>
        </is>
      </c>
      <c r="I60" s="16" t="inlineStr">
        <is>
          <t>Ежемесячно</t>
        </is>
      </c>
      <c r="J60" s="16" t="n">
        <v>3</v>
      </c>
      <c r="K60" s="17" t="inlineStr">
        <is>
          <t>проверить</t>
        </is>
      </c>
      <c r="L60" s="16" t="n"/>
    </row>
    <row r="61" ht="15" customHeight="1" s="11">
      <c r="A61" s="16" t="inlineStr">
        <is>
          <t>S060</t>
        </is>
      </c>
      <c r="B61" s="16" t="inlineStr">
        <is>
          <t>Рынки и барахолки</t>
        </is>
      </c>
      <c r="C61" s="16" t="inlineStr">
        <is>
          <t>All Saints Garden Art &amp; Craft Market</t>
        </is>
      </c>
      <c r="D61" s="16" t="inlineStr">
        <is>
          <t>Площадка</t>
        </is>
      </c>
      <c r="E61" s="17" t="n"/>
      <c r="F61" s="16" t="inlineStr">
        <is>
          <t>Рынок местных мастеров</t>
        </is>
      </c>
      <c r="G61" s="16" t="inlineStr">
        <is>
          <t>Центр</t>
        </is>
      </c>
      <c r="H61" s="16" t="inlineStr">
        <is>
          <t>Ручной</t>
        </is>
      </c>
      <c r="I61" s="16" t="inlineStr">
        <is>
          <t>Ежемесячно</t>
        </is>
      </c>
      <c r="J61" s="16" t="n">
        <v>3</v>
      </c>
      <c r="K61" s="17" t="inlineStr">
        <is>
          <t>проверить</t>
        </is>
      </c>
      <c r="L61" s="16" t="n"/>
    </row>
    <row r="62" ht="15" customHeight="1" s="11">
      <c r="A62" s="16" t="inlineStr">
        <is>
          <t>S061</t>
        </is>
      </c>
      <c r="B62" s="16" t="inlineStr">
        <is>
          <t>Рынки и барахолки</t>
        </is>
      </c>
      <c r="C62" s="16" t="inlineStr">
        <is>
          <t>Car boot sales в округе</t>
        </is>
      </c>
      <c r="D62" s="16" t="inlineStr">
        <is>
          <t>Агрегатор</t>
        </is>
      </c>
      <c r="E62" s="17" t="n"/>
      <c r="F62" s="16" t="inlineStr">
        <is>
          <t>Воскресные барахолки</t>
        </is>
      </c>
      <c r="G62" s="16" t="inlineStr">
        <is>
          <t>30 мин</t>
        </is>
      </c>
      <c r="H62" s="16" t="inlineStr">
        <is>
          <t>HTML агрегатора (найти)</t>
        </is>
      </c>
      <c r="I62" s="16" t="inlineStr">
        <is>
          <t>Еженедельно</t>
        </is>
      </c>
      <c r="J62" s="16" t="n">
        <v>3</v>
      </c>
      <c r="K62" s="17" t="inlineStr">
        <is>
          <t>проверить</t>
        </is>
      </c>
      <c r="L62" s="16" t="n"/>
    </row>
    <row r="63" ht="15" customHeight="1" s="11">
      <c r="A63" s="16" t="inlineStr">
        <is>
          <t>S062</t>
        </is>
      </c>
      <c r="B63" s="16" t="inlineStr">
        <is>
          <t>Комедия и стендап</t>
        </is>
      </c>
      <c r="C63" s="16" t="inlineStr">
        <is>
          <t>Комедия на Corn Exchange / Junction / ADC</t>
        </is>
      </c>
      <c r="D63" s="16" t="inlineStr">
        <is>
          <t>Площадка</t>
        </is>
      </c>
      <c r="E63" s="18" t="n"/>
      <c r="F63" s="16" t="inlineStr">
        <is>
          <t>См. площадки</t>
        </is>
      </c>
      <c r="G63" s="16" t="inlineStr">
        <is>
          <t>Центр</t>
        </is>
      </c>
      <c r="H63" s="16" t="inlineStr">
        <is>
          <t>Производный (тег «комедия»)</t>
        </is>
      </c>
      <c r="I63" s="16" t="inlineStr">
        <is>
          <t>—</t>
        </is>
      </c>
      <c r="J63" s="16" t="n">
        <v>1</v>
      </c>
      <c r="K63" s="18" t="inlineStr">
        <is>
          <t>проверить</t>
        </is>
      </c>
      <c r="L63" s="16" t="inlineStr">
        <is>
          <t>Тегировать «комедия» из этих источников. v0.4: отдельного сайта нет: тегировать «комедия» события из S011, S012, S042 (+ Ents24 ComedyEvent)</t>
        </is>
      </c>
      <c r="N63" t="inlineStr">
        <is>
          <t>—</t>
        </is>
      </c>
      <c r="O63" t="inlineStr">
        <is>
          <t>2026-09-27</t>
        </is>
      </c>
    </row>
    <row r="64" ht="23.85" customHeight="1" s="11">
      <c r="A64" s="16" t="inlineStr">
        <is>
          <t>S063</t>
        </is>
      </c>
      <c r="B64" s="16" t="inlineStr">
        <is>
          <t>Ночная жизнь</t>
        </is>
      </c>
      <c r="C64" s="16" t="inlineStr">
        <is>
          <t>Resident Advisor / Skiddle — клубные события</t>
        </is>
      </c>
      <c r="D64" s="16" t="inlineStr">
        <is>
          <t>Агрегатор</t>
        </is>
      </c>
      <c r="E64" s="17" t="n"/>
      <c r="F64" s="16" t="inlineStr">
        <is>
          <t>Клубные вечера</t>
        </is>
      </c>
      <c r="G64" s="16" t="inlineStr">
        <is>
          <t>Центр</t>
        </is>
      </c>
      <c r="H64" s="16" t="inlineStr">
        <is>
          <t>HTML / API Skiddle</t>
        </is>
      </c>
      <c r="I64" s="16" t="inlineStr">
        <is>
          <t>Еженедельно</t>
        </is>
      </c>
      <c r="J64" s="16" t="n">
        <v>3</v>
      </c>
      <c r="K64" s="17" t="inlineStr">
        <is>
          <t>проверить</t>
        </is>
      </c>
      <c r="L64" s="16" t="n"/>
    </row>
    <row r="65" ht="15" customHeight="1" s="11">
      <c r="A65" s="16" t="inlineStr">
        <is>
          <t>S064</t>
        </is>
      </c>
      <c r="B65" s="16" t="inlineStr">
        <is>
          <t>Ночная жизнь</t>
        </is>
      </c>
      <c r="C65" s="16" t="inlineStr">
        <is>
          <t>Квизы в пабах</t>
        </is>
      </c>
      <c r="D65" s="16" t="inlineStr">
        <is>
          <t>—</t>
        </is>
      </c>
      <c r="E65" s="17" t="n"/>
      <c r="F65" s="16" t="inlineStr">
        <is>
          <t>Регулярные квизы</t>
        </is>
      </c>
      <c r="G65" s="16" t="inlineStr">
        <is>
          <t>Центр</t>
        </is>
      </c>
      <c r="H65" s="16" t="inlineStr">
        <is>
          <t>Ручной (стабильные)</t>
        </is>
      </c>
      <c r="I65" s="16" t="inlineStr">
        <is>
          <t>Ежемесячно</t>
        </is>
      </c>
      <c r="J65" s="16" t="n">
        <v>3</v>
      </c>
      <c r="K65" s="17" t="inlineStr">
        <is>
          <t>проверить</t>
        </is>
      </c>
      <c r="L65" s="16" t="inlineStr">
        <is>
          <t>Скорее справочник, чем лента</t>
        </is>
      </c>
    </row>
    <row r="66" ht="23.85" customHeight="1" s="11">
      <c r="A66" s="16" t="inlineStr">
        <is>
          <t>S065</t>
        </is>
      </c>
      <c r="B66" s="16" t="inlineStr">
        <is>
          <t>Открытые двери и экскурсии</t>
        </is>
      </c>
      <c r="C66" s="16" t="inlineStr">
        <is>
          <t>Open Cambridge</t>
        </is>
      </c>
      <c r="D66" s="16" t="inlineStr">
        <is>
          <t>Организатор</t>
        </is>
      </c>
      <c r="E66" s="16" t="inlineStr">
        <is>
          <t>https://www.opencambridge.cam.ac.uk/</t>
        </is>
      </c>
      <c r="F66" s="16" t="inlineStr">
        <is>
          <t>Открытые двери, сентябрь</t>
        </is>
      </c>
      <c r="G66" s="16" t="inlineStr">
        <is>
          <t>Центр</t>
        </is>
      </c>
      <c r="H66" s="16" t="inlineStr">
        <is>
          <t>HTML</t>
        </is>
      </c>
      <c r="I66" s="16" t="inlineStr">
        <is>
          <t>Ежегодно</t>
        </is>
      </c>
      <c r="J66" s="16" t="n">
        <v>1</v>
      </c>
      <c r="K66" s="16" t="inlineStr">
        <is>
          <t>да</t>
        </is>
      </c>
      <c r="L66" s="16" t="inlineStr">
        <is>
          <t>Часть Heritage Open Days. v0.4: ежегодно (сентябрь), часть Heritage Open Days</t>
        </is>
      </c>
      <c r="M66" t="inlineStr">
        <is>
          <t>https://www.opencambridge.cam.ac.uk/</t>
        </is>
      </c>
      <c r="N66" t="inlineStr">
        <is>
          <t>разрешено, Crawl-delay 10</t>
        </is>
      </c>
      <c r="O66" t="inlineStr">
        <is>
          <t>2026-09-27</t>
        </is>
      </c>
    </row>
    <row r="67" ht="23.85" customHeight="1" s="11">
      <c r="A67" s="16" t="inlineStr">
        <is>
          <t>S066</t>
        </is>
      </c>
      <c r="B67" s="16" t="inlineStr">
        <is>
          <t>Открытые двери и экскурсии</t>
        </is>
      </c>
      <c r="C67" s="16" t="inlineStr">
        <is>
          <t>Heritage Open Days</t>
        </is>
      </c>
      <c r="D67" s="16" t="inlineStr">
        <is>
          <t>Агрегатор</t>
        </is>
      </c>
      <c r="E67" s="17" t="n"/>
      <c r="F67" s="16" t="inlineStr">
        <is>
          <t>Национальная программа открытых дверей</t>
        </is>
      </c>
      <c r="G67" s="16" t="inlineStr">
        <is>
          <t>Центр + час</t>
        </is>
      </c>
      <c r="H67" s="16" t="inlineStr">
        <is>
          <t>HTML (поиск по региону)</t>
        </is>
      </c>
      <c r="I67" s="16" t="inlineStr">
        <is>
          <t>Сезонно</t>
        </is>
      </c>
      <c r="J67" s="16" t="n">
        <v>2</v>
      </c>
      <c r="K67" s="17" t="inlineStr">
        <is>
          <t>проверить</t>
        </is>
      </c>
      <c r="L67" s="16" t="n"/>
    </row>
    <row r="68" ht="23.85" customHeight="1" s="11">
      <c r="A68" s="16" t="inlineStr">
        <is>
          <t>S067</t>
        </is>
      </c>
      <c r="B68" s="16" t="inlineStr">
        <is>
          <t>Открытые двери и экскурсии</t>
        </is>
      </c>
      <c r="C68" s="16" t="inlineStr">
        <is>
          <t>National Garden Scheme</t>
        </is>
      </c>
      <c r="D68" s="16" t="inlineStr">
        <is>
          <t>Агрегатор</t>
        </is>
      </c>
      <c r="E68" s="17" t="n"/>
      <c r="F68" s="16" t="inlineStr">
        <is>
          <t>Частные сады, открытые для посещения</t>
        </is>
      </c>
      <c r="G68" s="16" t="inlineStr">
        <is>
          <t>30 мин + час</t>
        </is>
      </c>
      <c r="H68" s="16" t="inlineStr">
        <is>
          <t>HTML</t>
        </is>
      </c>
      <c r="I68" s="16" t="inlineStr">
        <is>
          <t>Сезонно</t>
        </is>
      </c>
      <c r="J68" s="16" t="n">
        <v>2</v>
      </c>
      <c r="K68" s="17" t="inlineStr">
        <is>
          <t>проверить</t>
        </is>
      </c>
      <c r="L68" s="16" t="n"/>
    </row>
    <row r="69" ht="23.85" customHeight="1" s="11">
      <c r="A69" s="16" t="inlineStr">
        <is>
          <t>S068</t>
        </is>
      </c>
      <c r="B69" s="16" t="inlineStr">
        <is>
          <t>Открытые двери и экскурсии</t>
        </is>
      </c>
      <c r="C69" s="16" t="inlineStr">
        <is>
          <t>Колледжи — дни открытых дверей и туры</t>
        </is>
      </c>
      <c r="D69" s="16" t="inlineStr">
        <is>
          <t>Организатор</t>
        </is>
      </c>
      <c r="E69" s="17" t="n"/>
      <c r="F69" s="16" t="inlineStr">
        <is>
          <t>Посещения колледжей</t>
        </is>
      </c>
      <c r="G69" s="16" t="inlineStr">
        <is>
          <t>Центр</t>
        </is>
      </c>
      <c r="H69" s="16" t="inlineStr">
        <is>
          <t>Ручной</t>
        </is>
      </c>
      <c r="I69" s="16" t="inlineStr">
        <is>
          <t>Сезонно</t>
        </is>
      </c>
      <c r="J69" s="16" t="n">
        <v>3</v>
      </c>
      <c r="K69" s="17" t="inlineStr">
        <is>
          <t>проверить</t>
        </is>
      </c>
      <c r="L69" s="16" t="n"/>
    </row>
    <row r="70" ht="23.85" customHeight="1" s="11">
      <c r="A70" s="16" t="inlineStr">
        <is>
          <t>S069</t>
        </is>
      </c>
      <c r="B70" s="16" t="inlineStr">
        <is>
          <t>Природа и загородные поездки</t>
        </is>
      </c>
      <c r="C70" s="16" t="inlineStr">
        <is>
          <t>Cambridge University Botanic Garden</t>
        </is>
      </c>
      <c r="D70" s="16" t="inlineStr">
        <is>
          <t>Площадка</t>
        </is>
      </c>
      <c r="E70" s="16" t="inlineStr">
        <is>
          <t>https://www.botanic.cam.ac.uk</t>
        </is>
      </c>
      <c r="F70" s="16" t="inlineStr">
        <is>
          <t>События, сезонные экскурсии</t>
        </is>
      </c>
      <c r="G70" s="16" t="inlineStr">
        <is>
          <t>Центр</t>
        </is>
      </c>
      <c r="H70" s="16" t="inlineStr">
        <is>
          <t>HTML</t>
        </is>
      </c>
      <c r="I70" s="16" t="inlineStr">
        <is>
          <t>Еженедельно</t>
        </is>
      </c>
      <c r="J70" s="16" t="n">
        <v>1</v>
      </c>
      <c r="K70" s="16" t="inlineStr">
        <is>
          <t>да</t>
        </is>
      </c>
      <c r="L70" s="16" t="inlineStr">
        <is>
          <t>v0.4: WordPress, фида событий нет; REST закрыт (401)</t>
        </is>
      </c>
      <c r="M70" t="inlineStr">
        <is>
          <t>https://www.botanic.cam.ac.uk/whats-on/</t>
        </is>
      </c>
      <c r="N70" t="inlineStr">
        <is>
          <t>разрешено</t>
        </is>
      </c>
      <c r="O70" t="inlineStr">
        <is>
          <t>2026-09-27</t>
        </is>
      </c>
    </row>
    <row r="71" ht="23.85" customHeight="1" s="11">
      <c r="A71" s="16" t="inlineStr">
        <is>
          <t>S070</t>
        </is>
      </c>
      <c r="B71" s="16" t="inlineStr">
        <is>
          <t>Природа и загородные поездки</t>
        </is>
      </c>
      <c r="C71" s="16" t="inlineStr">
        <is>
          <t>National Trust: Wimpole, Anglesey Abbey, Wicken Fen</t>
        </is>
      </c>
      <c r="D71" s="16" t="inlineStr">
        <is>
          <t>Площадка</t>
        </is>
      </c>
      <c r="E71" s="18" t="inlineStr">
        <is>
          <t>https://www.nationaltrust.org.uk/visit/cambridgeshire/wimpole-estate/events</t>
        </is>
      </c>
      <c r="F71" s="16" t="inlineStr">
        <is>
          <t>Сезонные события, фестивали огней, детские программы</t>
        </is>
      </c>
      <c r="G71" s="16" t="inlineStr">
        <is>
          <t>30 мин</t>
        </is>
      </c>
      <c r="H71" s="16" t="inlineStr">
        <is>
          <t>HTML</t>
        </is>
      </c>
      <c r="I71" s="16" t="inlineStr">
        <is>
          <t>Еженедельно</t>
        </is>
      </c>
      <c r="J71" s="16" t="n">
        <v>1</v>
      </c>
      <c r="K71" s="18" t="inlineStr">
        <is>
          <t>проверить</t>
        </is>
      </c>
      <c r="L71" s="16" t="inlineStr">
        <is>
          <t>v0.4: Wimpole и Anglesey Abbey — HTML живые; сайт защищён Radware — собирать редко или вручную</t>
        </is>
      </c>
      <c r="M71" t="inlineStr">
        <is>
          <t>https://www.nationaltrust.org.uk/visit/cambridgeshire/wimpole-estate/events</t>
        </is>
      </c>
      <c r="N71" t="inlineStr">
        <is>
          <t>разрешено</t>
        </is>
      </c>
      <c r="O71" t="inlineStr">
        <is>
          <t>2026-09-27</t>
        </is>
      </c>
    </row>
    <row r="72" ht="23.85" customHeight="1" s="11">
      <c r="A72" s="16" t="inlineStr">
        <is>
          <t>S071</t>
        </is>
      </c>
      <c r="B72" s="16" t="inlineStr">
        <is>
          <t>Природа и загородные поездки</t>
        </is>
      </c>
      <c r="C72" s="16" t="inlineStr">
        <is>
          <t>Ely Cathedral</t>
        </is>
      </c>
      <c r="D72" s="16" t="inlineStr">
        <is>
          <t>Площадка</t>
        </is>
      </c>
      <c r="E72" s="17" t="n"/>
      <c r="F72" s="16" t="inlineStr">
        <is>
          <t>Концерты, рынки, сезонные события</t>
        </is>
      </c>
      <c r="G72" s="16" t="inlineStr">
        <is>
          <t>30 мин</t>
        </is>
      </c>
      <c r="H72" s="16" t="inlineStr">
        <is>
          <t>HTML</t>
        </is>
      </c>
      <c r="I72" s="16" t="inlineStr">
        <is>
          <t>Еженедельно</t>
        </is>
      </c>
      <c r="J72" s="16" t="n">
        <v>2</v>
      </c>
      <c r="K72" s="17" t="inlineStr">
        <is>
          <t>проверить</t>
        </is>
      </c>
      <c r="L72" s="16" t="n"/>
    </row>
    <row r="73" ht="23.85" customHeight="1" s="11">
      <c r="A73" s="16" t="inlineStr">
        <is>
          <t>S072</t>
        </is>
      </c>
      <c r="B73" s="16" t="inlineStr">
        <is>
          <t>Праздники и сезонное</t>
        </is>
      </c>
      <c r="C73" s="16" t="inlineStr">
        <is>
          <t>Cambridge City Council — городские события</t>
        </is>
      </c>
      <c r="D73" s="16" t="inlineStr">
        <is>
          <t>Организатор</t>
        </is>
      </c>
      <c r="E73" s="16" t="inlineStr">
        <is>
          <t>https://www.camcityevents.co.uk/events</t>
        </is>
      </c>
      <c r="F73" s="16" t="inlineStr">
        <is>
          <t>Фейерверки на Midsummer Common, рождественские огни, Midsummer Fair</t>
        </is>
      </c>
      <c r="G73" s="16" t="inlineStr">
        <is>
          <t>Центр</t>
        </is>
      </c>
      <c r="H73" s="16" t="inlineStr">
        <is>
          <t>HTML</t>
        </is>
      </c>
      <c r="I73" s="16" t="inlineStr">
        <is>
          <t>Еженедельно</t>
        </is>
      </c>
      <c r="J73" s="16" t="n">
        <v>1</v>
      </c>
      <c r="K73" s="16" t="inlineStr">
        <is>
          <t>да</t>
        </is>
      </c>
      <c r="L73" s="16" t="inlineStr">
        <is>
          <t>Фейерверки собирают до 20 тыс. человек — обязательно в выпуск. v0.4: городские события (фейерверки, Kidmas Lights) — на camcityevents.co.uk (та же платформа, что у Corn Exchange); cambridge.gov.uk/fireworks туда редиректит</t>
        </is>
      </c>
      <c r="M73" t="inlineStr">
        <is>
          <t>https://www.camcityevents.co.uk/events</t>
        </is>
      </c>
      <c r="N73" t="inlineStr">
        <is>
          <t>разрешено</t>
        </is>
      </c>
      <c r="O73" t="inlineStr">
        <is>
          <t>2026-09-27</t>
        </is>
      </c>
    </row>
    <row r="74" ht="23.85" customHeight="1" s="11">
      <c r="A74" s="16" t="inlineStr">
        <is>
          <t>S073</t>
        </is>
      </c>
      <c r="B74" s="16" t="inlineStr">
        <is>
          <t>Праздники и сезонное</t>
        </is>
      </c>
      <c r="C74" s="16" t="inlineStr">
        <is>
          <t>Remembrance, Pancake Race и др. традиции</t>
        </is>
      </c>
      <c r="D74" s="16" t="inlineStr">
        <is>
          <t>Организатор</t>
        </is>
      </c>
      <c r="E74" s="17" t="n"/>
      <c r="F74" s="16" t="inlineStr">
        <is>
          <t>Сезонные традиции</t>
        </is>
      </c>
      <c r="G74" s="16" t="inlineStr">
        <is>
          <t>Центр</t>
        </is>
      </c>
      <c r="H74" s="16" t="inlineStr">
        <is>
          <t>Ручной календарь</t>
        </is>
      </c>
      <c r="I74" s="16" t="inlineStr">
        <is>
          <t>Ежегодно</t>
        </is>
      </c>
      <c r="J74" s="16" t="n">
        <v>3</v>
      </c>
      <c r="K74" s="17" t="inlineStr">
        <is>
          <t>проверить</t>
        </is>
      </c>
      <c r="L74" s="16" t="inlineStr">
        <is>
          <t>Завести статичный годовой календарь</t>
        </is>
      </c>
    </row>
    <row r="75" ht="15" customHeight="1" s="11">
      <c r="A75" s="16" t="inlineStr">
        <is>
          <t>S074</t>
        </is>
      </c>
      <c r="B75" s="16" t="inlineStr">
        <is>
          <t>Воркшопы и курсы</t>
        </is>
      </c>
      <c r="C75" s="16" t="inlineStr">
        <is>
          <t>Makespace Cambridge</t>
        </is>
      </c>
      <c r="D75" s="16" t="inlineStr">
        <is>
          <t>Организатор</t>
        </is>
      </c>
      <c r="E75" s="17" t="n"/>
      <c r="F75" s="16" t="inlineStr">
        <is>
          <t>Мастерская: воркшопы, дни открытых дверей</t>
        </is>
      </c>
      <c r="G75" s="16" t="inlineStr">
        <is>
          <t>Центр</t>
        </is>
      </c>
      <c r="H75" s="16" t="inlineStr">
        <is>
          <t>HTML</t>
        </is>
      </c>
      <c r="I75" s="16" t="inlineStr">
        <is>
          <t>Еженедельно</t>
        </is>
      </c>
      <c r="J75" s="16" t="n">
        <v>3</v>
      </c>
      <c r="K75" s="17" t="inlineStr">
        <is>
          <t>проверить</t>
        </is>
      </c>
      <c r="L75" s="16" t="n"/>
    </row>
    <row r="76" ht="15" customHeight="1" s="11">
      <c r="A76" s="16" t="inlineStr">
        <is>
          <t>S075</t>
        </is>
      </c>
      <c r="B76" s="16" t="inlineStr">
        <is>
          <t>Воркшопы и курсы</t>
        </is>
      </c>
      <c r="C76" s="16" t="inlineStr">
        <is>
          <t>Воркшопы в музеях</t>
        </is>
      </c>
      <c r="D76" s="16" t="inlineStr">
        <is>
          <t>Агрегатор</t>
        </is>
      </c>
      <c r="E76" s="17" t="n"/>
      <c r="F76" s="16" t="inlineStr">
        <is>
          <t>См. музеи</t>
        </is>
      </c>
      <c r="G76" s="16" t="inlineStr">
        <is>
          <t>Центр</t>
        </is>
      </c>
      <c r="H76" s="16" t="inlineStr">
        <is>
          <t>—</t>
        </is>
      </c>
      <c r="I76" s="16" t="inlineStr">
        <is>
          <t>—</t>
        </is>
      </c>
      <c r="J76" s="16" t="n">
        <v>2</v>
      </c>
      <c r="K76" s="17" t="inlineStr">
        <is>
          <t>проверить</t>
        </is>
      </c>
      <c r="L76" s="16" t="inlineStr">
        <is>
          <t>Тегировать из музейных источников</t>
        </is>
      </c>
    </row>
    <row r="77" ht="23.85" customHeight="1" s="11">
      <c r="A77" s="16" t="inlineStr">
        <is>
          <t>S076</t>
        </is>
      </c>
      <c r="B77" s="16" t="inlineStr">
        <is>
          <t>Сообщества и благотворительность</t>
        </is>
      </c>
      <c r="C77" s="16" t="inlineStr">
        <is>
          <t>Love Mill Road / Mill Road Fringe</t>
        </is>
      </c>
      <c r="D77" s="16" t="inlineStr">
        <is>
          <t>Организатор</t>
        </is>
      </c>
      <c r="E77" s="16" t="inlineStr">
        <is>
          <t>https://www.millroadwinterfair.org/mill-road-fringe/</t>
        </is>
      </c>
      <c r="F77" s="16" t="inlineStr">
        <is>
          <t>Районные события Mill Road в течение года</t>
        </is>
      </c>
      <c r="G77" s="16" t="inlineStr">
        <is>
          <t>Центр</t>
        </is>
      </c>
      <c r="H77" s="16" t="inlineStr">
        <is>
          <t>HTML</t>
        </is>
      </c>
      <c r="I77" s="16" t="inlineStr">
        <is>
          <t>Еженедельно</t>
        </is>
      </c>
      <c r="J77" s="16" t="n">
        <v>2</v>
      </c>
      <c r="K77" s="16" t="inlineStr">
        <is>
          <t>да</t>
        </is>
      </c>
      <c r="L77" s="16" t="n"/>
    </row>
    <row r="78" ht="23.85" customHeight="1" s="11">
      <c r="A78" s="16" t="inlineStr">
        <is>
          <t>S077</t>
        </is>
      </c>
      <c r="B78" s="16" t="inlineStr">
        <is>
          <t>Сообщества и благотворительность</t>
        </is>
      </c>
      <c r="C78" s="16" t="inlineStr">
        <is>
          <t>Районные FB-группы и Nextdoor</t>
        </is>
      </c>
      <c r="D78" s="16" t="inlineStr">
        <is>
          <t>Соцсети</t>
        </is>
      </c>
      <c r="E78" s="17" t="n"/>
      <c r="F78" s="16" t="inlineStr">
        <is>
          <t>Районные события, отмены</t>
        </is>
      </c>
      <c r="G78" s="16" t="inlineStr">
        <is>
          <t>Центр</t>
        </is>
      </c>
      <c r="H78" s="16" t="inlineStr">
        <is>
          <t>Ручной мониторинг (не парсить — правила платформ)</t>
        </is>
      </c>
      <c r="I78" s="16" t="inlineStr">
        <is>
          <t>Еженедельно</t>
        </is>
      </c>
      <c r="J78" s="16" t="n">
        <v>2</v>
      </c>
      <c r="K78" s="17" t="inlineStr">
        <is>
          <t>проверить</t>
        </is>
      </c>
      <c r="L78" s="16" t="inlineStr">
        <is>
          <t>Источник подсказок, а не данных</t>
        </is>
      </c>
    </row>
    <row r="79" ht="23.85" customHeight="1" s="11">
      <c r="A79" s="16" t="inlineStr">
        <is>
          <t>S078</t>
        </is>
      </c>
      <c r="B79" s="16" t="inlineStr">
        <is>
          <t>Практическое</t>
        </is>
      </c>
      <c r="C79" s="16" t="inlineStr">
        <is>
          <t>Перекрытия дорог (county council / one.network)</t>
        </is>
      </c>
      <c r="D79" s="16" t="inlineStr">
        <is>
          <t>Госорган</t>
        </is>
      </c>
      <c r="E79" s="17" t="n"/>
      <c r="F79" s="16" t="inlineStr">
        <is>
          <t>Дорожные работы и перекрытия под события</t>
        </is>
      </c>
      <c r="G79" s="16" t="inlineStr">
        <is>
          <t>Центр + 30 мин</t>
        </is>
      </c>
      <c r="H79" s="16" t="inlineStr">
        <is>
          <t>HTML / фид (проверить)</t>
        </is>
      </c>
      <c r="I79" s="16" t="inlineStr">
        <is>
          <t>Ежедневно</t>
        </is>
      </c>
      <c r="J79" s="16" t="n">
        <v>2</v>
      </c>
      <c r="K79" s="17" t="inlineStr">
        <is>
          <t>проверить</t>
        </is>
      </c>
      <c r="L79" s="16" t="n"/>
    </row>
    <row r="80" ht="23.85" customHeight="1" s="11">
      <c r="A80" s="16" t="inlineStr">
        <is>
          <t>S079</t>
        </is>
      </c>
      <c r="B80" s="16" t="inlineStr">
        <is>
          <t>Практическое</t>
        </is>
      </c>
      <c r="C80" s="16" t="inlineStr">
        <is>
          <t>Greater Anglia / Thameslink / National Rail</t>
        </is>
      </c>
      <c r="D80" s="16" t="inlineStr">
        <is>
          <t>Транспорт</t>
        </is>
      </c>
      <c r="E80" s="17" t="n"/>
      <c r="F80" s="16" t="inlineStr">
        <is>
          <t>Инженерные работы, забастовки</t>
        </is>
      </c>
      <c r="G80" s="16" t="inlineStr">
        <is>
          <t>Центр + час</t>
        </is>
      </c>
      <c r="H80" s="16" t="inlineStr">
        <is>
          <t>HTML / API National Rail (проверить)</t>
        </is>
      </c>
      <c r="I80" s="16" t="inlineStr">
        <is>
          <t>Ежедневно</t>
        </is>
      </c>
      <c r="J80" s="16" t="n">
        <v>2</v>
      </c>
      <c r="K80" s="17" t="inlineStr">
        <is>
          <t>проверить</t>
        </is>
      </c>
      <c r="L80" s="16" t="n"/>
    </row>
    <row r="81" ht="15" customHeight="1" s="11">
      <c r="A81" s="16" t="inlineStr">
        <is>
          <t>S080</t>
        </is>
      </c>
      <c r="B81" s="16" t="inlineStr">
        <is>
          <t>Практическое</t>
        </is>
      </c>
      <c r="C81" s="16" t="inlineStr">
        <is>
          <t>Stagecoach East / Park &amp; Ride</t>
        </is>
      </c>
      <c r="D81" s="16" t="inlineStr">
        <is>
          <t>Транспорт</t>
        </is>
      </c>
      <c r="E81" s="17" t="n"/>
      <c r="F81" s="16" t="inlineStr">
        <is>
          <t>Изменения автобусов в дни событий</t>
        </is>
      </c>
      <c r="G81" s="16" t="inlineStr">
        <is>
          <t>Центр</t>
        </is>
      </c>
      <c r="H81" s="16" t="inlineStr">
        <is>
          <t>HTML</t>
        </is>
      </c>
      <c r="I81" s="16" t="inlineStr">
        <is>
          <t>Еженедельно</t>
        </is>
      </c>
      <c r="J81" s="16" t="n">
        <v>3</v>
      </c>
      <c r="K81" s="17" t="inlineStr">
        <is>
          <t>проверить</t>
        </is>
      </c>
      <c r="L81" s="16" t="n"/>
    </row>
    <row r="82" ht="23.85" customHeight="1" s="11">
      <c r="A82" s="16" t="inlineStr">
        <is>
          <t>S081</t>
        </is>
      </c>
      <c r="B82" s="16" t="inlineStr">
        <is>
          <t>Фестивали</t>
        </is>
      </c>
      <c r="C82" s="16" t="inlineStr">
        <is>
          <t>Thriplow Daffodil Weekend</t>
        </is>
      </c>
      <c r="D82" s="16" t="inlineStr">
        <is>
          <t>Организатор</t>
        </is>
      </c>
      <c r="E82" s="16" t="inlineStr">
        <is>
          <t>https://www.thriplowdaffodils.org.uk</t>
        </is>
      </c>
      <c r="F82" s="16" t="inlineStr">
        <is>
          <t>Нарциссовый фестиваль в деревне Thriplow, март; до 10 тыс. гостей, деревня без машин</t>
        </is>
      </c>
      <c r="G82" s="16" t="inlineStr">
        <is>
          <t>30 мин</t>
        </is>
      </c>
      <c r="H82" s="16" t="inlineStr">
        <is>
          <t>HTML</t>
        </is>
      </c>
      <c r="I82" s="16" t="inlineStr">
        <is>
          <t>Ежегодно</t>
        </is>
      </c>
      <c r="J82" s="16" t="n">
        <v>1</v>
      </c>
      <c r="K82" s="16" t="inlineStr">
        <is>
          <t>да</t>
        </is>
      </c>
      <c r="L82" s="16" t="inlineStr">
        <is>
          <t>Бывали отмены, если нарциссы не зацвели — мониторить</t>
        </is>
      </c>
      <c r="M82" t="inlineStr">
        <is>
          <t>https://www.thriplowdaffodils.org.uk</t>
        </is>
      </c>
      <c r="N82" t="inlineStr">
        <is>
          <t>разрешено</t>
        </is>
      </c>
      <c r="O82" t="inlineStr">
        <is>
          <t>2026-09-27</t>
        </is>
      </c>
    </row>
    <row r="83" ht="35.05" customHeight="1" s="11">
      <c r="A83" s="16" t="inlineStr">
        <is>
          <t>S082</t>
        </is>
      </c>
      <c r="B83" s="16" t="inlineStr">
        <is>
          <t>Спорт — смотреть</t>
        </is>
      </c>
      <c r="C83" s="16" t="inlineStr">
        <is>
          <t>Cambridge Dragon Boat Festival (ACT)</t>
        </is>
      </c>
      <c r="D83" s="16" t="inlineStr">
        <is>
          <t>Организатор</t>
        </is>
      </c>
      <c r="E83" s="16" t="inlineStr">
        <is>
          <t>https://act4addenbrookes.org.uk</t>
        </is>
      </c>
      <c r="F83" s="16" t="inlineStr">
        <is>
          <t>Гонки драконьих лодок на Cam у Fen Ditton, сентябрь; 48 корпоративных команд, семейная программа на берегу</t>
        </is>
      </c>
      <c r="G83" s="16" t="inlineStr">
        <is>
          <t>Центр</t>
        </is>
      </c>
      <c r="H83" s="16" t="inlineStr">
        <is>
          <t>HTML</t>
        </is>
      </c>
      <c r="I83" s="16" t="inlineStr">
        <is>
          <t>Ежегодно</t>
        </is>
      </c>
      <c r="J83" s="16" t="n">
        <v>1</v>
      </c>
      <c r="K83" s="16" t="inlineStr">
        <is>
          <t>да</t>
        </is>
      </c>
      <c r="L83" s="16" t="inlineStr">
        <is>
          <t>Благотворительный, в пользу Addenbrooke's. v0.4: ежегодно; /feed/ — новости; в WP REST есть тип events — проверить на этапе 2</t>
        </is>
      </c>
      <c r="M83" t="inlineStr">
        <is>
          <t>https://act4addenbrookes.org.uk/dragonboat/</t>
        </is>
      </c>
      <c r="N83" t="inlineStr">
        <is>
          <t>разрешено</t>
        </is>
      </c>
      <c r="O83" t="inlineStr">
        <is>
          <t>2026-09-27</t>
        </is>
      </c>
    </row>
    <row r="84" ht="23.85" customHeight="1" s="11">
      <c r="A84" s="16" t="inlineStr">
        <is>
          <t>S083</t>
        </is>
      </c>
      <c r="B84" s="16" t="inlineStr">
        <is>
          <t>Фестивали</t>
        </is>
      </c>
      <c r="C84" s="16" t="inlineStr">
        <is>
          <t>«Nihao! China» Cambridge Dragon Boat Festival</t>
        </is>
      </c>
      <c r="D84" s="16" t="inlineStr">
        <is>
          <t>Организатор</t>
        </is>
      </c>
      <c r="E84" s="17" t="n"/>
      <c r="F84" s="16" t="inlineStr">
        <is>
          <t>Китайский фестиваль драконьих лодок на Jesus Green и Cam, июнь</t>
        </is>
      </c>
      <c r="G84" s="16" t="inlineStr">
        <is>
          <t>Центр</t>
        </is>
      </c>
      <c r="H84" s="16" t="inlineStr">
        <is>
          <t>Ручной (ежегодно)</t>
        </is>
      </c>
      <c r="I84" s="16" t="inlineStr">
        <is>
          <t>Ежегодно</t>
        </is>
      </c>
      <c r="J84" s="16" t="n">
        <v>2</v>
      </c>
      <c r="K84" s="17" t="inlineStr">
        <is>
          <t>проверить</t>
        </is>
      </c>
      <c r="L84" s="16" t="inlineStr">
        <is>
          <t>Организатор — Cambridge Chinese Community Centre; сайт найти</t>
        </is>
      </c>
    </row>
    <row r="85" ht="23.85" customHeight="1" s="11">
      <c r="A85" s="16" t="inlineStr">
        <is>
          <t>S084</t>
        </is>
      </c>
      <c r="B85" s="16" t="inlineStr">
        <is>
          <t>Спорт — смотреть</t>
        </is>
      </c>
      <c r="C85" s="16" t="inlineStr">
        <is>
          <t>Cambridgeshire Cats (американский футбол)</t>
        </is>
      </c>
      <c r="D85" s="16" t="inlineStr">
        <is>
          <t>Клуб</t>
        </is>
      </c>
      <c r="E85" s="17" t="n"/>
      <c r="F85" s="16" t="inlineStr">
        <is>
          <t>BAFA Premier Division South, домашние игры в Shelford Rugby Club</t>
        </is>
      </c>
      <c r="G85" s="16" t="inlineStr">
        <is>
          <t>30 мин</t>
        </is>
      </c>
      <c r="H85" s="16" t="inlineStr">
        <is>
          <t>HTML / соцсети</t>
        </is>
      </c>
      <c r="I85" s="16" t="inlineStr">
        <is>
          <t>Еженедельно в сезон</t>
        </is>
      </c>
      <c r="J85" s="16" t="n">
        <v>2</v>
      </c>
      <c r="K85" s="17" t="inlineStr">
        <is>
          <t>проверить</t>
        </is>
      </c>
      <c r="L85" s="16" t="inlineStr">
        <is>
          <t>Сезон весна–лето</t>
        </is>
      </c>
    </row>
    <row r="86" ht="23.85" customHeight="1" s="11">
      <c r="A86" s="16" t="inlineStr">
        <is>
          <t>S085</t>
        </is>
      </c>
      <c r="B86" s="16" t="inlineStr">
        <is>
          <t>Спорт — смотреть</t>
        </is>
      </c>
      <c r="C86" s="16" t="inlineStr">
        <is>
          <t>Cambridge Pythons (университетский ам. футбол)</t>
        </is>
      </c>
      <c r="D86" s="16" t="inlineStr">
        <is>
          <t>Клуб</t>
        </is>
      </c>
      <c r="E86" s="17" t="n"/>
      <c r="F86" s="16" t="inlineStr">
        <is>
          <t>BUAFL, университетская лига</t>
        </is>
      </c>
      <c r="G86" s="16" t="inlineStr">
        <is>
          <t>Центр</t>
        </is>
      </c>
      <c r="H86" s="16" t="inlineStr">
        <is>
          <t>HTML / соцсети</t>
        </is>
      </c>
      <c r="I86" s="16" t="inlineStr">
        <is>
          <t>Еженедельно в сезон</t>
        </is>
      </c>
      <c r="J86" s="16" t="n">
        <v>3</v>
      </c>
      <c r="K86" s="17" t="inlineStr">
        <is>
          <t>проверить</t>
        </is>
      </c>
      <c r="L86" s="16" t="n"/>
    </row>
    <row r="87" ht="23.85" customHeight="1" s="11">
      <c r="A87" s="16" t="inlineStr">
        <is>
          <t>S086</t>
        </is>
      </c>
      <c r="B87" s="16" t="inlineStr">
        <is>
          <t>Сообщества и благотворительность</t>
        </is>
      </c>
      <c r="C87" s="16" t="inlineStr">
        <is>
          <t>Addenbrooke's Charitable Trust — события</t>
        </is>
      </c>
      <c r="D87" s="16" t="inlineStr">
        <is>
          <t>Организатор</t>
        </is>
      </c>
      <c r="E87" s="16" t="inlineStr">
        <is>
          <t>https://act4addenbrookes.org.uk</t>
        </is>
      </c>
      <c r="F87" s="16" t="inlineStr">
        <is>
          <t>Благотворительные забеги, лодки, челленджи</t>
        </is>
      </c>
      <c r="G87" s="16" t="inlineStr">
        <is>
          <t>Центр + 30 мин</t>
        </is>
      </c>
      <c r="H87" s="16" t="inlineStr">
        <is>
          <t>HTML</t>
        </is>
      </c>
      <c r="I87" s="16" t="inlineStr">
        <is>
          <t>Еженедельно</t>
        </is>
      </c>
      <c r="J87" s="16" t="n">
        <v>2</v>
      </c>
      <c r="K87" s="16" t="inlineStr">
        <is>
          <t>да</t>
        </is>
      </c>
      <c r="L87" s="16" t="inlineStr">
        <is>
          <t>Благотворительные организаторы — отдельный пласт событий</t>
        </is>
      </c>
    </row>
    <row r="88" ht="35.05" customHeight="1" s="11">
      <c r="A88" s="16" t="inlineStr">
        <is>
          <t>S087</t>
        </is>
      </c>
      <c r="B88" s="16" t="inlineStr">
        <is>
          <t>Еда и напитки</t>
        </is>
      </c>
      <c r="C88" s="16" t="inlineStr">
        <is>
          <t>The Cambridge Foodies</t>
        </is>
      </c>
      <c r="D88" s="16" t="inlineStr">
        <is>
          <t>Блог / СМИ</t>
        </is>
      </c>
      <c r="E88" s="16" t="inlineStr">
        <is>
          <t>https://cambridgefoodies.me.uk</t>
        </is>
      </c>
      <c r="F88" s="16" t="inlineStr">
        <is>
          <t>Открытия и обзоры ресторанов и кафе, в т.ч. Mill Road, Ely, Royston</t>
        </is>
      </c>
      <c r="G88" s="16" t="inlineStr">
        <is>
          <t>Центр + 30 мин</t>
        </is>
      </c>
      <c r="H88" s="16" t="inlineStr">
        <is>
          <t>RSS</t>
        </is>
      </c>
      <c r="I88" s="16" t="inlineStr">
        <is>
          <t>Ежедневно</t>
        </is>
      </c>
      <c r="J88" s="16" t="n">
        <v>1</v>
      </c>
      <c r="K88" s="16" t="inlineStr">
        <is>
          <t>да</t>
        </is>
      </c>
      <c r="L88" s="16" t="inlineStr">
        <is>
          <t>Поймал Catte Latte, Hungarian Soul, Buren, Urban Larder. Часть постов рекламные (помечены «ad»), часть за платной подпиской. v0.4: поток «новое в городе», не афиша</t>
        </is>
      </c>
      <c r="M88" t="inlineStr">
        <is>
          <t>https://cambridgefoodies.me.uk/feed/</t>
        </is>
      </c>
      <c r="N88" t="inlineStr">
        <is>
          <t>разрешено</t>
        </is>
      </c>
      <c r="O88" t="inlineStr">
        <is>
          <t>2026-09-27</t>
        </is>
      </c>
    </row>
    <row r="89" ht="35.05" customHeight="1" s="11">
      <c r="A89" s="16" t="inlineStr">
        <is>
          <t>S088</t>
        </is>
      </c>
      <c r="B89" s="16" t="inlineStr">
        <is>
          <t>Спорт — участвовать</t>
        </is>
      </c>
      <c r="C89" s="16" t="inlineStr">
        <is>
          <t>parkrun — Cambridge, Wimpole и др.</t>
        </is>
      </c>
      <c r="D89" s="16" t="inlineStr">
        <is>
          <t>Организатор</t>
        </is>
      </c>
      <c r="E89" s="16" t="inlineStr">
        <is>
          <t>https://www.parkrun.org.uk</t>
        </is>
      </c>
      <c r="F89" s="16" t="inlineStr">
        <is>
          <t>Еженедельные бесплатные 5 км по субботам 9:00, junior parkrun по воскресеньям</t>
        </is>
      </c>
      <c r="G89" s="16" t="inlineStr">
        <is>
          <t>Центр + 30 мин</t>
        </is>
      </c>
      <c r="H89" s="16" t="inlineStr">
        <is>
          <t>Статичный справочник + ручной (спецзабеги: Рождество, Новый год, отмены)</t>
        </is>
      </c>
      <c r="I89" s="16" t="inlineStr">
        <is>
          <t>Еженедельно</t>
        </is>
      </c>
      <c r="J89" s="16" t="n">
        <v>2</v>
      </c>
      <c r="K89" s="17" t="inlineStr">
        <is>
          <t>проверить</t>
        </is>
      </c>
      <c r="L89" s="16" t="inlineStr">
        <is>
          <t>Сам забег — справочная инфа; в выпуск — спецзабеги и отмены</t>
        </is>
      </c>
    </row>
    <row r="90" ht="23.85" customHeight="1" s="11">
      <c r="A90" s="16" t="inlineStr">
        <is>
          <t>S089</t>
        </is>
      </c>
      <c r="B90" s="16" t="inlineStr">
        <is>
          <t>Спорт — участвовать</t>
        </is>
      </c>
      <c r="C90" s="16" t="inlineStr">
        <is>
          <t>Town and Gown 10k</t>
        </is>
      </c>
      <c r="D90" s="16" t="inlineStr">
        <is>
          <t>Организатор</t>
        </is>
      </c>
      <c r="E90" s="18" t="inlineStr">
        <is>
          <t>https://www.townandgown10k.com/</t>
        </is>
      </c>
      <c r="F90" s="16" t="inlineStr">
        <is>
          <t>10 км, октябрь, старт на Midsummer Common, ~3000 участников</t>
        </is>
      </c>
      <c r="G90" s="16" t="inlineStr">
        <is>
          <t>Центр</t>
        </is>
      </c>
      <c r="H90" s="16" t="inlineStr">
        <is>
          <t>Ручной (сайт закрыт для ботов)</t>
        </is>
      </c>
      <c r="I90" s="16" t="inlineStr">
        <is>
          <t>Ежегодно</t>
        </is>
      </c>
      <c r="J90" s="16" t="n">
        <v>1</v>
      </c>
      <c r="K90" s="18" t="inlineStr">
        <is>
          <t>проверить</t>
        </is>
      </c>
      <c r="L90" s="16" t="inlineStr">
        <is>
          <t>Нужен и для рубрики «Практическое» — перекрытия. v0.4: официальный сайт найден (MDUK, Bidwells Cambridge 10k); ловить через Cambridge News / Cambridge 105 или вносить вручную раз в год</t>
        </is>
      </c>
      <c r="N90" t="inlineStr">
        <is>
          <t>robots.txt: 403</t>
        </is>
      </c>
      <c r="O90" t="inlineStr">
        <is>
          <t>2026-09-27</t>
        </is>
      </c>
    </row>
  </sheetData>
  <autoFilter ref="A1:O90"/>
  <dataValidations count="3">
    <dataValidation sqref="J2:J500" showDropDown="0" showInputMessage="0" showErrorMessage="0" allowBlank="1" type="list" errorStyle="stop" operator="between">
      <formula1>"1,2,3"</formula1>
      <formula2>0</formula2>
    </dataValidation>
    <dataValidation sqref="K2:K500" showDropDown="0" showInputMessage="0" showErrorMessage="0" allowBlank="1" type="list" errorStyle="stop" operator="between">
      <formula1>"да,проверить,нет"</formula1>
      <formula2>0</formula2>
    </dataValidation>
    <dataValidation sqref="G2:G500" showDropDown="0" showInputMessage="0" showErrorMessage="0" allowBlank="1" type="list" errorStyle="stop" operator="between">
      <formula1>"Центр,30 мин,Час,Центр + 30 мин,Центр + час,30 мин + час"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11" min="1" max="1"/>
    <col width="36" customWidth="1" style="11" min="2" max="2"/>
    <col width="12" customWidth="1" style="11" min="3" max="3"/>
    <col width="18" customWidth="1" style="11" min="4" max="4"/>
    <col width="50" customWidth="1" style="11" min="5" max="5"/>
    <col width="70" customWidth="1" style="11" min="6" max="6"/>
    <col width="50" customWidth="1" style="11" min="7" max="7"/>
  </cols>
  <sheetData>
    <row r="1">
      <c r="A1" s="19" t="inlineStr">
        <is>
          <t>ID</t>
        </is>
      </c>
      <c r="B1" s="19" t="inlineStr">
        <is>
          <t>Источник</t>
        </is>
      </c>
      <c r="C1" s="19" t="inlineStr">
        <is>
          <t>URL проверен</t>
        </is>
      </c>
      <c r="D1" s="19" t="inlineStr">
        <is>
          <t>Способ сбора</t>
        </is>
      </c>
      <c r="E1" s="19" t="inlineStr">
        <is>
          <t>Endpoint</t>
        </is>
      </c>
      <c r="F1" s="19" t="inlineStr">
        <is>
          <t>Что нашёл</t>
        </is>
      </c>
      <c r="G1" s="19" t="inlineStr">
        <is>
          <t>Что не получилось</t>
        </is>
      </c>
    </row>
    <row r="2">
      <c r="A2" s="20" t="inlineStr">
        <is>
          <t>S001</t>
        </is>
      </c>
      <c r="B2" s="20" t="inlineStr">
        <is>
          <t>Visit Cambridge — events</t>
        </is>
      </c>
      <c r="C2" s="21" t="inlineStr">
        <is>
          <t>да</t>
        </is>
      </c>
      <c r="D2" s="20" t="inlineStr">
        <is>
          <t>API + HTML</t>
        </is>
      </c>
      <c r="E2" s="20" t="inlineStr">
        <is>
          <t>https://www.visitcambridge.org/wp-json/vc-map/v1/events</t>
        </is>
      </c>
      <c r="F2" s="20" t="inlineStr">
        <is>
          <t>https://www.visitcambridge.org — 200; alternate-фиды: https://www.visitcambridge.org/wp-json/wp/v2/pages/26, https://www.visitcambridge.org/wp-json/oembed/1.0/embed?url=https%3A%2F%2Fwww.visitcambridge.org%2F; WordPress
https://www.visitcambridge.org/whats-on/ — 200; alternate-фиды: https://www.visitcambridge.org/wp-json/wp/v2/pages/553, https://www.visitcambridge.org/wp-json/oembed/1.0/embed?url=https%3A%2F%2Fwww.visitcambridge.org%2Fwhats-on%2F; WordPress
https://www.visitcambridge.org/event-categories/festivals/ — 200; alternate-фиды: https://www.visitcambridge.org/event-categories/festivals/feed/; WordPress
https://www.visitcambridge.org/wp-json/vc-map/v1/events — 200; JSON</t>
        </is>
      </c>
      <c r="G2" s="20" t="inlineStr"/>
    </row>
    <row r="3">
      <c r="A3" s="20" t="inlineStr">
        <is>
          <t>S002</t>
        </is>
      </c>
      <c r="B3" s="20" t="inlineStr">
        <is>
          <t>What's On In Cambridge</t>
        </is>
      </c>
      <c r="C3" s="21" t="inlineStr">
        <is>
          <t>да</t>
        </is>
      </c>
      <c r="D3" s="20" t="inlineStr">
        <is>
          <t>RSS</t>
        </is>
      </c>
      <c r="E3" s="20" t="inlineStr">
        <is>
          <t>https://www.whatsonincambridge.com/feed/</t>
        </is>
      </c>
      <c r="F3" s="20" t="inlineStr">
        <is>
          <t>https://www.whatsonincambridge.com/__superjs/challenge?u=%2Fevents%2F — 200
https://www.whatsonincambridge.com/feed/ — 200; фид, записей: 10</t>
        </is>
      </c>
      <c r="G3" s="20" t="inlineStr">
        <is>
          <t>https://www.whatsonincambridge.com/events/ — JS-проверка «SuperJS» (бот-блок), HTML без браузера недоступен</t>
        </is>
      </c>
    </row>
    <row r="4">
      <c r="A4" s="20" t="inlineStr">
        <is>
          <t>S003</t>
        </is>
      </c>
      <c r="B4" s="20" t="inlineStr">
        <is>
          <t>Cambridge Independent — What's On</t>
        </is>
      </c>
      <c r="C4" s="21" t="inlineStr">
        <is>
          <t>да</t>
        </is>
      </c>
      <c r="D4" s="20" t="inlineStr">
        <is>
          <t>RSS</t>
        </is>
      </c>
      <c r="E4" s="20" t="inlineStr">
        <is>
          <t>https://www.cambridgeindependent.co.uk/_api/rss/cambridge_independent_whatson_feed.xml</t>
        </is>
      </c>
      <c r="F4" s="20" t="inlineStr">
        <is>
          <t>https://www.cambridgeindependent.co.uk/whats-on/ — 200
https://www.cambridgeindependent.co.uk/_api/rss/cambridge_independent_whatson_feed.xml — 200; фид, записей: 20</t>
        </is>
      </c>
      <c r="G4" s="20" t="inlineStr"/>
    </row>
    <row r="5">
      <c r="A5" s="20" t="inlineStr">
        <is>
          <t>S004</t>
        </is>
      </c>
      <c r="B5" s="20" t="inlineStr">
        <is>
          <t>Cambridge News / CambridgeshireLive</t>
        </is>
      </c>
      <c r="C5" s="21" t="inlineStr">
        <is>
          <t>да</t>
        </is>
      </c>
      <c r="D5" s="20" t="inlineStr">
        <is>
          <t>RSS</t>
        </is>
      </c>
      <c r="E5" s="20" t="inlineStr">
        <is>
          <t>https://www.cambridge-news.co.uk/whats-on/?service=rss</t>
        </is>
      </c>
      <c r="F5" s="20" t="inlineStr">
        <is>
          <t>https://www.cambridge-news.co.uk — 200; alternate-фиды: https://www.cambridge-news.co.uk/rss.xml
https://www.cambridge-news.co.uk/whats-on/ — 200; alternate-фиды: https://www.cambridge-news.co.uk/whats-on/rss.xml; билетная система: ecal
https://www.cambridge-news.co.uk/?service=rss — 200; фид, записей: 25
https://www.cambridge-news.co.uk/whats-on/?service=rss — 200; фид, записей: 15
https://www.cambridge-news.co.uk/whats-on/?service=rss — 200; фид, записей: 15</t>
        </is>
      </c>
      <c r="G5" s="20" t="inlineStr"/>
    </row>
    <row r="6">
      <c r="A6" s="20" t="inlineStr">
        <is>
          <t>S005</t>
        </is>
      </c>
      <c r="B6" s="20" t="inlineStr">
        <is>
          <t>Cambridge 105 — события</t>
        </is>
      </c>
      <c r="C6" s="21" t="inlineStr">
        <is>
          <t>да</t>
        </is>
      </c>
      <c r="D6" s="20" t="inlineStr">
        <is>
          <t>iCal</t>
        </is>
      </c>
      <c r="E6" s="20" t="inlineStr">
        <is>
          <t>https://cambridge105.co.uk/whatson/?ical=1</t>
        </is>
      </c>
      <c r="F6" s="20" t="inlineStr">
        <is>
          <t>https://cambridge105.co.uk — 200; alternate-фиды: https://cambridge105.co.uk/whatson/?ical=1, https://cambridge105.co.uk/wp-json/wp/v2/pages/44141, https://cambridge105.co.uk/wp-json/oembed/1.0/embed?url=https%3A%2F%2Fcambridge105.co.uk%2F; WordPress
https://cambridge105.co.uk/events/ — 200; alternate-фиды: https://cambridge105.co.uk/whatson/?ical=1, https://cambridge105.co.uk/wp-json/wp/v2/media/75261, https://cambridge105.co.uk/wp-json/oembed/1.0/embed?url=https%3A%2F%2Fcambridge105.co.uk%2Fevents%2F; WordPress
https://cambridge105.co.uk/feed/ — 200; фид, записей: 30
https://cambridge105.co.uk/events/?ical=1 — 200; iCal, событий: 22
https://cambridge105.co.uk/wp-json/tribe/events/v1/events — 200; JSON
https://cambridge105.co.uk/whatson/?ical=1 — 200; iCal, событий: 22</t>
        </is>
      </c>
      <c r="G6" s="20" t="inlineStr"/>
    </row>
    <row r="7">
      <c r="A7" s="20" t="inlineStr">
        <is>
          <t>S006</t>
        </is>
      </c>
      <c r="B7" s="20" t="inlineStr">
        <is>
          <t>Ents24 — Cambridge</t>
        </is>
      </c>
      <c r="C7" s="21" t="inlineStr">
        <is>
          <t>да</t>
        </is>
      </c>
      <c r="D7" s="20" t="inlineStr">
        <is>
          <t>JSON-LD</t>
        </is>
      </c>
      <c r="E7" s="20" t="inlineStr">
        <is>
          <t>https://www.ents24.com/whatson/cambridge</t>
        </is>
      </c>
      <c r="F7" s="20" t="inlineStr">
        <is>
          <t>https://www.ents24.com/whatson/cambridge — 200; JSON-LD Event: 37; билетная система: ents24, gigantic</t>
        </is>
      </c>
      <c r="G7" s="20" t="inlineStr"/>
    </row>
    <row r="8">
      <c r="A8" s="20" t="inlineStr">
        <is>
          <t>S007</t>
        </is>
      </c>
      <c r="B8" s="20" t="inlineStr">
        <is>
          <t>Skiddle — Cambridge</t>
        </is>
      </c>
      <c r="C8" s="21" t="inlineStr">
        <is>
          <t>да</t>
        </is>
      </c>
      <c r="D8" s="20" t="inlineStr">
        <is>
          <t>JSON-LD (API — по ключу)</t>
        </is>
      </c>
      <c r="E8" s="20" t="inlineStr">
        <is>
          <t>https://www.skiddle.com/whats-on/Cambridge/</t>
        </is>
      </c>
      <c r="F8" s="20" t="inlineStr">
        <is>
          <t>https://www.skiddle.com/whats-on/Cambridge/ — 200; JSON-LD Event: 49; билетная система: ecal, skiddle
https://www.skiddle.com/api/ — 200; билетная система: skiddle</t>
        </is>
      </c>
      <c r="G8" s="20" t="inlineStr"/>
    </row>
    <row r="9">
      <c r="A9" s="20" t="inlineStr">
        <is>
          <t>S011</t>
        </is>
      </c>
      <c r="B9" s="20" t="inlineStr">
        <is>
          <t>Cambridge Corn Exchange</t>
        </is>
      </c>
      <c r="C9" s="21" t="inlineStr">
        <is>
          <t>да</t>
        </is>
      </c>
      <c r="D9" s="20" t="inlineStr">
        <is>
          <t>HTML + JSON-LD</t>
        </is>
      </c>
      <c r="E9" s="20" t="inlineStr">
        <is>
          <t>https://www.cornex.co.uk/events</t>
        </is>
      </c>
      <c r="F9" s="20" t="inlineStr">
        <is>
          <t>https://www.cambridgelivetickets.co.uk/ — 200
https://www.cornex.co.uk — 200
https://www.cornex.co.uk/events — 200
https://www.cambridgelivetickets.co.uk — 200
https://www.cornex.co.uk/events/alison-moyet-2 — 200; JSON-LD Event: 1</t>
        </is>
      </c>
      <c r="G9" s="20" t="inlineStr"/>
    </row>
    <row r="10">
      <c r="A10" s="20" t="inlineStr">
        <is>
          <t>S012</t>
        </is>
      </c>
      <c r="B10" s="20" t="inlineStr">
        <is>
          <t>Cambridge Junction</t>
        </is>
      </c>
      <c r="C10" s="21" t="inlineStr">
        <is>
          <t>да</t>
        </is>
      </c>
      <c r="D10" s="20" t="inlineStr">
        <is>
          <t>API + HTML</t>
        </is>
      </c>
      <c r="E10" s="20" t="inlineStr">
        <is>
          <t>https://www.junction.co.uk/wp-json/wp/v2/cj_events</t>
        </is>
      </c>
      <c r="F10" s="20" t="inlineStr">
        <is>
          <t>https://www.junction.co.uk — 200; alternate-фиды: https://www.junction.co.uk/feed/, https://www.junction.co.uk/comments/feed/, https://www.junction.co.uk/wp-json/oembed/1.0/embed?url=https%3A%2F%2Fwww.junction.co.uk%2F; WordPress; билетная система: ecal, spektrix
https://www.junction.co.uk/whats-on/ — 200; alternate-фиды: https://www.junction.co.uk/feed/, https://www.junction.co.uk/comments/feed/, https://www.junction.co.uk/wp-json/oembed/1.0/embed?url=https%3A%2F%2Fwww.junction.co.uk%2Fwhats-on%2F; WordPress; билетная система: ecal, spektrix
https://www.junction.co.uk/wp-json/wp/v2/cj_events?per_page=20 — 200; JSON
https://www.junction.co.uk/feed/ — 200; фид, записей: 12</t>
        </is>
      </c>
      <c r="G10" s="20" t="inlineStr"/>
    </row>
    <row r="11">
      <c r="A11" s="20" t="inlineStr">
        <is>
          <t>S018</t>
        </is>
      </c>
      <c r="B11" s="20" t="inlineStr">
        <is>
          <t>Cambridge United</t>
        </is>
      </c>
      <c r="C11" s="21" t="inlineStr">
        <is>
          <t>да</t>
        </is>
      </c>
      <c r="D11" s="20" t="inlineStr">
        <is>
          <t>iCal (fixtur.es) + HTML</t>
        </is>
      </c>
      <c r="E11" s="20" t="inlineStr">
        <is>
          <t>https://ics.fixtur.es/v2/home/cambridge-united-fc.ics</t>
        </is>
      </c>
      <c r="F11" s="20" t="inlineStr">
        <is>
          <t>https://www.cambridgeunited.com — 200
https://fixtur.es/en/team/cambridge-united-fc/home — 200; JSON-LD Event: 27
https://www.cambridgeunited.com/fixture/list/57 — 200
https://ics.fixtur.es/v2/home/cambridge-united-fc.ics — 200; iCal, событий: 188</t>
        </is>
      </c>
      <c r="G11" s="20" t="inlineStr"/>
    </row>
    <row r="12">
      <c r="A12" s="20" t="inlineStr">
        <is>
          <t>S021</t>
        </is>
      </c>
      <c r="B12" s="20" t="inlineStr">
        <is>
          <t>Newmarket Racecourses</t>
        </is>
      </c>
      <c r="C12" s="21" t="inlineStr">
        <is>
          <t>да</t>
        </is>
      </c>
      <c r="D12" s="20" t="inlineStr">
        <is>
          <t>JSON-LD</t>
        </is>
      </c>
      <c r="E12" s="20" t="inlineStr">
        <is>
          <t>https://www.thejockeyclub.co.uk/newmarket/events-tickets/</t>
        </is>
      </c>
      <c r="F12" s="20" t="inlineStr">
        <is>
          <t>https://www.thejockeyclub.co.uk/newmarket/ — 200
https://www.thejockeyclub.co.uk/newmarket/events-tickets/ — 200; JSON-LD Event: 14</t>
        </is>
      </c>
      <c r="G12" s="20" t="inlineStr"/>
    </row>
    <row r="13">
      <c r="A13" s="20" t="inlineStr">
        <is>
          <t>S026</t>
        </is>
      </c>
      <c r="B13" s="20" t="inlineStr">
        <is>
          <t>Chariots of Fire</t>
        </is>
      </c>
      <c r="C13" s="21" t="inlineStr">
        <is>
          <t>да</t>
        </is>
      </c>
      <c r="D13" s="20" t="inlineStr">
        <is>
          <t>JSON-LD (RunThrough)</t>
        </is>
      </c>
      <c r="E13" s="20" t="inlineStr">
        <is>
          <t>https://www.runthrough.co.uk/event/chariots-of-fire-september-2026</t>
        </is>
      </c>
      <c r="F13" s="20" t="inlineStr">
        <is>
          <t>https://www.chariots-of-fire.co.uk/ — 200; alternate-фиды: https://www.chariots-of-fire.co.uk/feed/, https://www.chariots-of-fire.co.uk/comments/feed/, https://www.chariots-of-fire.co.uk/wp-json/wp/v2/pages/21; WordPress
https://www.chariots-of-fire.co.uk/feed/ — 200; фид, записей: 10
https://www.runthrough.co.uk/event/chariots-of-fire-september-2026 — 200; JSON-LD Event: 1</t>
        </is>
      </c>
      <c r="G13" s="20" t="inlineStr"/>
    </row>
    <row r="14">
      <c r="A14" s="20" t="inlineStr">
        <is>
          <t>S028</t>
        </is>
      </c>
      <c r="B14" s="20" t="inlineStr">
        <is>
          <t>Cambridge Half Marathon</t>
        </is>
      </c>
      <c r="C14" s="21" t="inlineStr">
        <is>
          <t>да</t>
        </is>
      </c>
      <c r="D14" s="20" t="inlineStr">
        <is>
          <t>HTML</t>
        </is>
      </c>
      <c r="E14" s="20" t="inlineStr">
        <is>
          <t>https://cambridgehalfmarathon.com/</t>
        </is>
      </c>
      <c r="F14" s="20" t="inlineStr">
        <is>
          <t>https://cambridgehalfmarathon.com/ — 200</t>
        </is>
      </c>
      <c r="G14" s="20" t="inlineStr"/>
    </row>
    <row r="15">
      <c r="A15" s="20" t="inlineStr">
        <is>
          <t>S030</t>
        </is>
      </c>
      <c r="B15" s="20" t="inlineStr">
        <is>
          <t>Cambridge Festival (университет)</t>
        </is>
      </c>
      <c r="C15" s="21" t="inlineStr">
        <is>
          <t>да</t>
        </is>
      </c>
      <c r="D15" s="20" t="inlineStr">
        <is>
          <t>HTML</t>
        </is>
      </c>
      <c r="E15" s="20" t="inlineStr">
        <is>
          <t>https://www.festival.cam.ac.uk/events</t>
        </is>
      </c>
      <c r="F15" s="20" t="inlineStr">
        <is>
          <t>https://www.festival.cam.ac.uk/events — 200 через curl, robots.txt разрешает (Crawl-delay: 10); фидов и JSON-LD нет</t>
        </is>
      </c>
      <c r="G15" s="20" t="inlineStr">
        <is>
          <t>Pantheon отдаёт 403 Python-клиенту httpx (и на robots.txt), curl с тем же User-Agent — 200: блок по отпечатку клиента</t>
        </is>
      </c>
    </row>
    <row r="16">
      <c r="A16" s="20" t="inlineStr">
        <is>
          <t>S031</t>
        </is>
      </c>
      <c r="B16" s="20" t="inlineStr">
        <is>
          <t>Cambridge Folk Festival</t>
        </is>
      </c>
      <c r="C16" s="21" t="inlineStr">
        <is>
          <t>да</t>
        </is>
      </c>
      <c r="D16" s="20" t="inlineStr">
        <is>
          <t>HTML</t>
        </is>
      </c>
      <c r="E16" s="20" t="inlineStr">
        <is>
          <t>https://www.cambridgefolkfestival.co.uk/</t>
        </is>
      </c>
      <c r="F16" s="20" t="inlineStr">
        <is>
          <t>https://www.cambridgefolkfestival.co.uk/ — 200
https://www.cambridgefolkfestival.co.uk/ — 200</t>
        </is>
      </c>
      <c r="G16" s="20" t="inlineStr"/>
    </row>
    <row r="17">
      <c r="A17" s="20" t="inlineStr">
        <is>
          <t>S032</t>
        </is>
      </c>
      <c r="B17" s="20" t="inlineStr">
        <is>
          <t>Cambridge Beer Festival</t>
        </is>
      </c>
      <c r="C17" s="21" t="inlineStr">
        <is>
          <t>да</t>
        </is>
      </c>
      <c r="D17" s="20" t="inlineStr">
        <is>
          <t>iCal</t>
        </is>
      </c>
      <c r="E17" s="20" t="inlineStr">
        <is>
          <t>https://www.cambridgebeerfestival.com/events/?ical=1</t>
        </is>
      </c>
      <c r="F17" s="20" t="inlineStr">
        <is>
          <t>https://www.cambridgebeerfestival.com — 200; JSON-LD Event: 2; alternate-фиды: https://www.cambridgebeerfestival.com/events/?ical=1; WordPress + The Events Calendar; билетная система: ecal</t>
        </is>
      </c>
      <c r="G17" s="20" t="inlineStr"/>
    </row>
    <row r="18">
      <c r="A18" s="20" t="inlineStr">
        <is>
          <t>S033</t>
        </is>
      </c>
      <c r="B18" s="20" t="inlineStr">
        <is>
          <t>Strawberry Fair</t>
        </is>
      </c>
      <c r="C18" s="21" t="inlineStr">
        <is>
          <t>да</t>
        </is>
      </c>
      <c r="D18" s="20" t="inlineStr">
        <is>
          <t>JSON-LD</t>
        </is>
      </c>
      <c r="E18" s="20" t="inlineStr">
        <is>
          <t>https://strawberry-fair.org.uk/</t>
        </is>
      </c>
      <c r="F18" s="20" t="inlineStr">
        <is>
          <t>https://strawberry-fair.org.uk/ — 200; JSON-LD Event: 1
https://strawberry-fair.org.uk/feed/ — 200; JSON-LD Event: 1</t>
        </is>
      </c>
      <c r="G18" s="20" t="inlineStr"/>
    </row>
    <row r="19">
      <c r="A19" s="20" t="inlineStr">
        <is>
          <t>S038</t>
        </is>
      </c>
      <c r="B19" s="20" t="inlineStr">
        <is>
          <t>Mill Road Winter Fair</t>
        </is>
      </c>
      <c r="C19" s="21" t="inlineStr">
        <is>
          <t>да</t>
        </is>
      </c>
      <c r="D19" s="20" t="inlineStr">
        <is>
          <t>RSS</t>
        </is>
      </c>
      <c r="E19" s="20" t="inlineStr">
        <is>
          <t>https://www.millroadwinterfair.org/feed/</t>
        </is>
      </c>
      <c r="F19" s="20" t="inlineStr">
        <is>
          <t>https://www.millroadwinterfair.org — 200; alternate-фиды: https://www.millroadwinterfair.org/feed/, https://www.millroadwinterfair.org/comments/feed/, https://www.millroadwinterfair.org/wp-json/wp/v2/pages/22; WordPress
https://www.millroadwinterfair.org/feed/ — 200; фид, записей: 0</t>
        </is>
      </c>
      <c r="G19" s="20" t="inlineStr"/>
    </row>
    <row r="20">
      <c r="A20" s="20" t="inlineStr">
        <is>
          <t>S039</t>
        </is>
      </c>
      <c r="B20" s="20" t="inlineStr">
        <is>
          <t>Рождественские маркеты в центре</t>
        </is>
      </c>
      <c r="C20" s="21" t="inlineStr">
        <is>
          <t>да</t>
        </is>
      </c>
      <c r="D20" s="20" t="inlineStr">
        <is>
          <t>HTML</t>
        </is>
      </c>
      <c r="E20" s="20" t="inlineStr">
        <is>
          <t>https://www.christmasincambridge.co.uk/</t>
        </is>
      </c>
      <c r="F20" s="20" t="inlineStr">
        <is>
          <t>https://www.christmasincambridge.co.uk/ — 200
https://www.visitcambridge.org/event/christmas-in-cambridge/ — 200; alternate-фиды: https://www.visitcambridge.org/wp-json/oembed/1.0/embed?url=https%3A%2F%2Fwww.visitcambridge.org%2Fevent%2Fchristmas-in-cambridge%2F; WordPress</t>
        </is>
      </c>
      <c r="G20" s="20" t="inlineStr"/>
    </row>
    <row r="21">
      <c r="A21" s="20" t="inlineStr">
        <is>
          <t>S041</t>
        </is>
      </c>
      <c r="B21" s="20" t="inlineStr">
        <is>
          <t>Cambridge Arts Theatre</t>
        </is>
      </c>
      <c r="C21" s="22" t="inlineStr">
        <is>
          <t>проверить</t>
        </is>
      </c>
      <c r="D21" s="20" t="inlineStr">
        <is>
          <t>HTML (блок Cloudflare)</t>
        </is>
      </c>
      <c r="E21" s="20" t="inlineStr"/>
      <c r="F21" s="20" t="inlineStr"/>
      <c r="G21" s="20" t="inlineStr">
        <is>
          <t>https://www.artstheatre.co.uk — 403, Cloudflare challenge (cf-mitigated) и для httpx, и для curl</t>
        </is>
      </c>
    </row>
    <row r="22">
      <c r="A22" s="20" t="inlineStr">
        <is>
          <t>S042</t>
        </is>
      </c>
      <c r="B22" s="20" t="inlineStr">
        <is>
          <t>ADC Theatre</t>
        </is>
      </c>
      <c r="C22" s="21" t="inlineStr">
        <is>
          <t>да</t>
        </is>
      </c>
      <c r="D22" s="20" t="inlineStr">
        <is>
          <t>iCal</t>
        </is>
      </c>
      <c r="E22" s="20" t="inlineStr">
        <is>
          <t>https://www.camdram.net/venues/adc-theatre/diary.ics</t>
        </is>
      </c>
      <c r="F22" s="20" t="inlineStr">
        <is>
          <t>https://www.adctheatre.com — 200; билетная система: spektrix
https://www.adctheatre.com/whats-on/ — 200; билетная система: spektrix
https://www.camdram.net/venues/adc-theatre/diary.ics — 200; iCal, событий: 28
https://www.camdram.net/venues/adc-theatre/diary.json — 200; JSON</t>
        </is>
      </c>
      <c r="G22" s="20" t="inlineStr"/>
    </row>
    <row r="23">
      <c r="A23" s="20" t="inlineStr">
        <is>
          <t>S045</t>
        </is>
      </c>
      <c r="B23" s="20" t="inlineStr">
        <is>
          <t>Arts Picturehouse</t>
        </is>
      </c>
      <c r="C23" s="21" t="inlineStr">
        <is>
          <t>да</t>
        </is>
      </c>
      <c r="D23" s="20" t="inlineStr">
        <is>
          <t>HTML</t>
        </is>
      </c>
      <c r="E23" s="20" t="inlineStr">
        <is>
          <t>https://www.picturehouses.com/cinema/arts-picturehouse-cambridge</t>
        </is>
      </c>
      <c r="F23" s="20" t="inlineStr">
        <is>
          <t>https://www.picturehouses.com/cinema/arts-picturehouse-cambridge — 200; билетная система: ecal</t>
        </is>
      </c>
      <c r="G23" s="20" t="inlineStr"/>
    </row>
    <row r="24">
      <c r="A24" s="20" t="inlineStr">
        <is>
          <t>S047</t>
        </is>
      </c>
      <c r="B24" s="20" t="inlineStr">
        <is>
          <t>Talks.cam</t>
        </is>
      </c>
      <c r="C24" s="21" t="inlineStr">
        <is>
          <t>да</t>
        </is>
      </c>
      <c r="D24" s="20" t="inlineStr">
        <is>
          <t>iCal</t>
        </is>
      </c>
      <c r="E24" s="20" t="inlineStr">
        <is>
          <t>https://talks.cam.ac.uk/show/ics/5606/</t>
        </is>
      </c>
      <c r="F24" s="20" t="inlineStr">
        <is>
          <t>https://talks.cam.ac.uk — 200
https://talks.cam.ac.uk/document/documentation/ — 200
https://talks.cam.ac.uk/show/ics/5606/ — 200; iCal, событий: 15
https://talks.cam.ac.uk/show/rss/5606/ — 200; фид, записей: 15
https://talks.cam.ac.uk/show/xml/5606/ — 200</t>
        </is>
      </c>
      <c r="G24" s="20" t="inlineStr"/>
    </row>
    <row r="25">
      <c r="A25" s="20" t="inlineStr">
        <is>
          <t>S048</t>
        </is>
      </c>
      <c r="B25" s="20" t="inlineStr">
        <is>
          <t>University of Cambridge — What's On</t>
        </is>
      </c>
      <c r="C25" s="21" t="inlineStr">
        <is>
          <t>да</t>
        </is>
      </c>
      <c r="D25" s="20" t="inlineStr">
        <is>
          <t>HTML</t>
        </is>
      </c>
      <c r="E25" s="20" t="inlineStr">
        <is>
          <t>https://www.admin.cam.ac.uk/whatson/</t>
        </is>
      </c>
      <c r="F25" s="20" t="inlineStr">
        <is>
          <t>https://www.admin.cam.ac.uk/whatson/ — 200</t>
        </is>
      </c>
      <c r="G25" s="20" t="inlineStr">
        <is>
          <t>webservices.admin.cam.ac.uk (iCal 76 событий, RSS) — robots.txt: Disallow: / — не собираем без решения
https://www.cam.ac.uk/whats-on — Pantheon 403 для httpx</t>
        </is>
      </c>
    </row>
    <row r="26">
      <c r="A26" s="20" t="inlineStr">
        <is>
          <t>S050</t>
        </is>
      </c>
      <c r="B26" s="20" t="inlineStr">
        <is>
          <t>Fitzwilliam Museum</t>
        </is>
      </c>
      <c r="C26" s="21" t="inlineStr">
        <is>
          <t>да</t>
        </is>
      </c>
      <c r="D26" s="20" t="inlineStr">
        <is>
          <t>RSS (выставки) + HTML (события)</t>
        </is>
      </c>
      <c r="E26" s="20" t="inlineStr">
        <is>
          <t>https://fitzmuseum.cam.ac.uk/feeds/exhibitions</t>
        </is>
      </c>
      <c r="F26" s="20" t="inlineStr">
        <is>
          <t>https://fitzmuseum.cam.ac.uk — 200; alternate-фиды: https://fitzmuseum.cam.ac.uk/feeds/news, https://fitzmuseum.cam.ac.uk/feeds/vacancies, https://fitzmuseum.cam.ac.uk/feeds/exhibitions
https://fitzmuseum.cam.ac.uk/events — 200; alternate-фиды: https://fitzmuseum.cam.ac.uk/feeds/news, https://fitzmuseum.cam.ac.uk/feeds/vacancies, https://fitzmuseum.cam.ac.uk/feeds/exhibitions
https://fitzmuseum.cam.ac.uk/feeds/exhibitions — 200; фид, записей: 20</t>
        </is>
      </c>
      <c r="G26" s="20" t="inlineStr"/>
    </row>
    <row r="27">
      <c r="A27" s="20" t="inlineStr">
        <is>
          <t>S051</t>
        </is>
      </c>
      <c r="B27" s="20" t="inlineStr">
        <is>
          <t>Kettle's Yard</t>
        </is>
      </c>
      <c r="C27" s="21" t="inlineStr">
        <is>
          <t>да</t>
        </is>
      </c>
      <c r="D27" s="20" t="inlineStr">
        <is>
          <t>HTML</t>
        </is>
      </c>
      <c r="E27" s="20" t="inlineStr">
        <is>
          <t>https://www.kettlesyard.cam.ac.uk/whats-on/</t>
        </is>
      </c>
      <c r="F27" s="20" t="inlineStr">
        <is>
          <t>https://www.kettlesyard.cam.ac.uk — 200
https://www.kettlesyard.cam.ac.uk/whats-on/ — 200</t>
        </is>
      </c>
      <c r="G27" s="20" t="inlineStr">
        <is>
          <t>https://www.kettlesyard.cam.ac.uk/feed/ — 500
https://www.kettlesyard.co.uk — ConnectError: [SSL: CERTIFICATE_VERIFY_FAILED] certificate verify failed: Hostname mismatch, certificate is not valid for 'www.kettlesyard.co.uk'. (_ssl.c:1016)
https://www.kettlesyard.co.uk/events/ — ConnectError: [SSL: CERTIFICATE_VERIFY_FAILED] certificate verify failed: Hostname mismatch, certificate is not valid for 'www.kettlesyard.co.uk'. (_ssl.c:1016)
https://www.kettlesyard.co.uk/feed/ — ConnectError: [SSL: CERTIFICATE_VERIFY_FAILED] certificate verify failed: Hostname mismatch, certificate is not valid for 'www.kettlesyard.co.uk'. (_ssl.c:1016)</t>
        </is>
      </c>
    </row>
    <row r="28">
      <c r="A28" s="20" t="inlineStr">
        <is>
          <t>S052</t>
        </is>
      </c>
      <c r="B28" s="20" t="inlineStr">
        <is>
          <t>University of Cambridge Museums (сводный)</t>
        </is>
      </c>
      <c r="C28" s="21" t="inlineStr">
        <is>
          <t>да</t>
        </is>
      </c>
      <c r="D28" s="20" t="inlineStr">
        <is>
          <t>HTML</t>
        </is>
      </c>
      <c r="E28" s="20" t="inlineStr">
        <is>
          <t>https://www.museums.cam.ac.uk/whats-on</t>
        </is>
      </c>
      <c r="F28" s="20" t="inlineStr">
        <is>
          <t>https://www.museums.cam.ac.uk — 200
https://www.museums.cam.ac.uk/whats-on — 200</t>
        </is>
      </c>
      <c r="G28" s="20" t="inlineStr"/>
    </row>
    <row r="29">
      <c r="A29" s="20" t="inlineStr">
        <is>
          <t>S056</t>
        </is>
      </c>
      <c r="B29" s="20" t="inlineStr">
        <is>
          <t>Семейные программы музеев</t>
        </is>
      </c>
      <c r="C29" s="22" t="inlineStr">
        <is>
          <t>проверить</t>
        </is>
      </c>
      <c r="D29" s="20" t="inlineStr">
        <is>
          <t>Производный (тег «дети»)</t>
        </is>
      </c>
      <c r="E29" s="20" t="inlineStr"/>
      <c r="F29" s="20" t="inlineStr"/>
      <c r="G29" s="20" t="inlineStr">
        <is>
          <t>своего URL нет по замыслу</t>
        </is>
      </c>
    </row>
    <row r="30">
      <c r="A30" s="20" t="inlineStr">
        <is>
          <t>S062</t>
        </is>
      </c>
      <c r="B30" s="20" t="inlineStr">
        <is>
          <t>Комедия на Corn Exchange / Junction / ADC</t>
        </is>
      </c>
      <c r="C30" s="22" t="inlineStr">
        <is>
          <t>проверить</t>
        </is>
      </c>
      <c r="D30" s="20" t="inlineStr">
        <is>
          <t>Производный (тег «комедия»)</t>
        </is>
      </c>
      <c r="E30" s="20" t="inlineStr"/>
      <c r="F30" s="20" t="inlineStr"/>
      <c r="G30" s="20" t="inlineStr">
        <is>
          <t>своего URL нет по замыслу</t>
        </is>
      </c>
    </row>
    <row r="31">
      <c r="A31" s="20" t="inlineStr">
        <is>
          <t>S065</t>
        </is>
      </c>
      <c r="B31" s="20" t="inlineStr">
        <is>
          <t>Open Cambridge</t>
        </is>
      </c>
      <c r="C31" s="21" t="inlineStr">
        <is>
          <t>да</t>
        </is>
      </c>
      <c r="D31" s="20" t="inlineStr">
        <is>
          <t>HTML</t>
        </is>
      </c>
      <c r="E31" s="20" t="inlineStr">
        <is>
          <t>https://www.opencambridge.cam.ac.uk/</t>
        </is>
      </c>
      <c r="F31" s="20" t="inlineStr">
        <is>
          <t>https://www.opencambridge.cam.ac.uk/ — 200 через curl; фидов нет</t>
        </is>
      </c>
      <c r="G31" s="20" t="inlineStr">
        <is>
          <t>Pantheon отдаёт 403 Python-клиенту httpx, curl — 200</t>
        </is>
      </c>
    </row>
    <row r="32">
      <c r="A32" s="20" t="inlineStr">
        <is>
          <t>S069</t>
        </is>
      </c>
      <c r="B32" s="20" t="inlineStr">
        <is>
          <t>Cambridge University Botanic Garden</t>
        </is>
      </c>
      <c r="C32" s="21" t="inlineStr">
        <is>
          <t>да</t>
        </is>
      </c>
      <c r="D32" s="20" t="inlineStr">
        <is>
          <t>HTML</t>
        </is>
      </c>
      <c r="E32" s="20" t="inlineStr">
        <is>
          <t>https://www.botanic.cam.ac.uk/whats-on/</t>
        </is>
      </c>
      <c r="F32" s="20" t="inlineStr">
        <is>
          <t>https://www.botanic.cam.ac.uk — 200; alternate-фиды: https://www.botanic.cam.ac.uk/wp-json/oembed/1.0/embed?url=https%3A%2F%2Fwww.botanic.cam.ac.uk%2F, https://www.botanic.cam.ac.uk/wp-json/wp/v2/pages/6; WordPress
https://www.botanic.cam.ac.uk/whats-on/ — 200; WordPress</t>
        </is>
      </c>
      <c r="G32" s="20" t="inlineStr"/>
    </row>
    <row r="33">
      <c r="A33" s="20" t="inlineStr">
        <is>
          <t>S070</t>
        </is>
      </c>
      <c r="B33" s="20" t="inlineStr">
        <is>
          <t>National Trust: Wimpole, Anglesey Abbey, Wicken Fen</t>
        </is>
      </c>
      <c r="C33" s="22" t="inlineStr">
        <is>
          <t>проверить</t>
        </is>
      </c>
      <c r="D33" s="20" t="inlineStr">
        <is>
          <t>HTML</t>
        </is>
      </c>
      <c r="E33" s="20" t="inlineStr">
        <is>
          <t>https://www.nationaltrust.org.uk/visit/cambridgeshire/wimpole-estate/events</t>
        </is>
      </c>
      <c r="F33" s="20" t="inlineStr">
        <is>
          <t>https://www.nationaltrust.org.uk/visit/cambridgeshire/wimpole-estate/events — 200
https://www.nationaltrust.org.uk/visit/cambridgeshire/anglesey-abbey-gardens-and-lode-mill/events — 200
https://www.nationaltrust.org.uk/visit/cambridgeshire/wicken-fen-nature-reserve/events — 200</t>
        </is>
      </c>
      <c r="G33" s="20" t="inlineStr">
        <is>
          <t>nationaltrust.org.uk — после 1–2 запросов отдаёт страницу бот-защиты Radware
Wicken Fen: /wicken-fen-nature-reserve/events — страница 404; верный адрес не подтверждён</t>
        </is>
      </c>
    </row>
    <row r="34">
      <c r="A34" s="20" t="inlineStr">
        <is>
          <t>S072</t>
        </is>
      </c>
      <c r="B34" s="20" t="inlineStr">
        <is>
          <t>Cambridge City Council — городские события</t>
        </is>
      </c>
      <c r="C34" s="21" t="inlineStr">
        <is>
          <t>да</t>
        </is>
      </c>
      <c r="D34" s="20" t="inlineStr">
        <is>
          <t>HTML</t>
        </is>
      </c>
      <c r="E34" s="20" t="inlineStr">
        <is>
          <t>https://www.camcityevents.co.uk/events</t>
        </is>
      </c>
      <c r="F34" s="20" t="inlineStr">
        <is>
          <t>https://www.cambridge.gov.uk — 200
https://www.cambridge.gov.uk/summer-events — 200
https://www.camcityevents.co.uk/events — 200</t>
        </is>
      </c>
      <c r="G34" s="20" t="inlineStr">
        <is>
          <t>https://www.cambridge.gov.uk/fireworks — 404</t>
        </is>
      </c>
    </row>
    <row r="35">
      <c r="A35" s="20" t="inlineStr">
        <is>
          <t>S081</t>
        </is>
      </c>
      <c r="B35" s="20" t="inlineStr">
        <is>
          <t>Thriplow Daffodil Weekend</t>
        </is>
      </c>
      <c r="C35" s="21" t="inlineStr">
        <is>
          <t>да</t>
        </is>
      </c>
      <c r="D35" s="20" t="inlineStr">
        <is>
          <t>HTML</t>
        </is>
      </c>
      <c r="E35" s="20" t="inlineStr">
        <is>
          <t>https://www.thriplowdaffodils.org.uk</t>
        </is>
      </c>
      <c r="F35" s="20" t="inlineStr">
        <is>
          <t>https://www.thriplowdaffodils.org.uk — 200</t>
        </is>
      </c>
      <c r="G35" s="20" t="inlineStr"/>
    </row>
    <row r="36">
      <c r="A36" s="20" t="inlineStr">
        <is>
          <t>S082</t>
        </is>
      </c>
      <c r="B36" s="20" t="inlineStr">
        <is>
          <t>Cambridge Dragon Boat Festival (ACT)</t>
        </is>
      </c>
      <c r="C36" s="21" t="inlineStr">
        <is>
          <t>да</t>
        </is>
      </c>
      <c r="D36" s="20" t="inlineStr">
        <is>
          <t>HTML</t>
        </is>
      </c>
      <c r="E36" s="20" t="inlineStr">
        <is>
          <t>https://act4addenbrookes.org.uk/dragonboat/</t>
        </is>
      </c>
      <c r="F36" s="20" t="inlineStr">
        <is>
          <t>https://act4addenbrookes.org.uk — 200; alternate-фиды: https://act4addenbrookes.org.uk/feed/, https://act4addenbrookes.org.uk/comments/feed/, https://act4addenbrookes.org.uk/wp-json/oembed/1.0/embed?url=https%3A%2F%2Fact4addenbrookes.org.uk%2F; WordPress
https://act4addenbrookes.org.uk/events/cambridge-dragon-boat-festival-2026/ — 200; alternate-фиды: https://act4addenbrookes.org.uk/feed/, https://act4addenbrookes.org.uk/comments/feed/, https://act4addenbrookes.org.uk/wp-json/oembed/1.0/embed?url=https%3A%2F%2Fact4addenbrookes.org.uk%2Fevents%2Fcambridge-dragon-boat-festival-2026%2F; WordPress</t>
        </is>
      </c>
      <c r="G36" s="20" t="inlineStr"/>
    </row>
    <row r="37">
      <c r="A37" s="20" t="inlineStr">
        <is>
          <t>S087</t>
        </is>
      </c>
      <c r="B37" s="20" t="inlineStr">
        <is>
          <t>The Cambridge Foodies</t>
        </is>
      </c>
      <c r="C37" s="21" t="inlineStr">
        <is>
          <t>да</t>
        </is>
      </c>
      <c r="D37" s="20" t="inlineStr">
        <is>
          <t>RSS</t>
        </is>
      </c>
      <c r="E37" s="20" t="inlineStr">
        <is>
          <t>https://cambridgefoodies.me.uk/feed/</t>
        </is>
      </c>
      <c r="F37" s="20" t="inlineStr">
        <is>
          <t>https://cambridgefoodies.me.uk — 200 в первом проходе, WordPress, alternate RSS /feed/
https://cambridgefoodies.me.uk/feed/ — 200 через HTTP/2</t>
        </is>
      </c>
      <c r="G37" s="20" t="inlineStr">
        <is>
          <t>WordPress.com отвечает 429 при повторных запросах (и HTTP/1.1-клиенту httpx) — нужны HTTP/2, редкие запросы и бэк-офф</t>
        </is>
      </c>
    </row>
    <row r="38">
      <c r="A38" s="20" t="inlineStr">
        <is>
          <t>S089</t>
        </is>
      </c>
      <c r="B38" s="20" t="inlineStr">
        <is>
          <t>Town and Gown 10k</t>
        </is>
      </c>
      <c r="C38" s="22" t="inlineStr">
        <is>
          <t>проверить</t>
        </is>
      </c>
      <c r="D38" s="20" t="inlineStr">
        <is>
          <t>Ручной (сайт закрыт для ботов)</t>
        </is>
      </c>
      <c r="E38" s="20" t="inlineStr"/>
      <c r="F38" s="20" t="inlineStr"/>
      <c r="G38" s="20" t="inlineStr">
        <is>
          <t>townandgown10k.com и musculardystrophyuk.org — Cloudflare 403 для любого бот-клиента, включая robots.txt</t>
        </is>
      </c>
    </row>
  </sheetData>
  <autoFilter ref="A1:G38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8" customWidth="1" style="10" min="2" max="5"/>
  </cols>
  <sheetData>
    <row r="1" ht="15" customHeight="1" s="11">
      <c r="A1" s="23" t="inlineStr">
        <is>
          <t>Категория</t>
        </is>
      </c>
      <c r="B1" s="23" t="inlineStr">
        <is>
          <t>Всего источников</t>
        </is>
      </c>
      <c r="C1" s="23" t="inlineStr">
        <is>
          <t>Приоритет 1</t>
        </is>
      </c>
      <c r="D1" s="23" t="inlineStr">
        <is>
          <t>URL проверен</t>
        </is>
      </c>
      <c r="E1" s="23" t="inlineStr">
        <is>
          <t>Осталось проверить</t>
        </is>
      </c>
    </row>
    <row r="2" ht="15" customHeight="1" s="11">
      <c r="A2" s="24" t="inlineStr">
        <is>
          <t>Сквозные агрегаторы</t>
        </is>
      </c>
      <c r="B2" s="24">
        <f>COUNTIF(Источники!$B$2:$B$90,A2)</f>
        <v/>
      </c>
      <c r="C2" s="24">
        <f>COUNTIFS(Источники!$B$2:$B$90,A2,Источники!$J$2:$J$90,1)</f>
        <v/>
      </c>
      <c r="D2" s="24">
        <f>COUNTIFS(Источники!$B$2:$B$90,A2,Источники!$K$2:$K$90,"да")</f>
        <v/>
      </c>
      <c r="E2" s="24">
        <f>B2-D2</f>
        <v/>
      </c>
    </row>
    <row r="3" ht="15" customHeight="1" s="11">
      <c r="A3" s="24" t="inlineStr">
        <is>
          <t>Концерты</t>
        </is>
      </c>
      <c r="B3" s="24">
        <f>COUNTIF(Источники!$B$2:$B$90,A3)</f>
        <v/>
      </c>
      <c r="C3" s="24">
        <f>COUNTIFS(Источники!$B$2:$B$90,A3,Источники!$J$2:$J$90,1)</f>
        <v/>
      </c>
      <c r="D3" s="24">
        <f>COUNTIFS(Источники!$B$2:$B$90,A3,Источники!$K$2:$K$90,"да")</f>
        <v/>
      </c>
      <c r="E3" s="24">
        <f>B3-D3</f>
        <v/>
      </c>
    </row>
    <row r="4" ht="15" customHeight="1" s="11">
      <c r="A4" s="24" t="inlineStr">
        <is>
          <t>Спорт — смотреть</t>
        </is>
      </c>
      <c r="B4" s="24">
        <f>COUNTIF(Источники!$B$2:$B$90,A4)</f>
        <v/>
      </c>
      <c r="C4" s="24">
        <f>COUNTIFS(Источники!$B$2:$B$90,A4,Источники!$J$2:$J$90,1)</f>
        <v/>
      </c>
      <c r="D4" s="24">
        <f>COUNTIFS(Источники!$B$2:$B$90,A4,Источники!$K$2:$K$90,"да")</f>
        <v/>
      </c>
      <c r="E4" s="24">
        <f>B4-D4</f>
        <v/>
      </c>
    </row>
    <row r="5" ht="15" customHeight="1" s="11">
      <c r="A5" s="24" t="inlineStr">
        <is>
          <t>Спорт — участвовать</t>
        </is>
      </c>
      <c r="B5" s="24">
        <f>COUNTIF(Источники!$B$2:$B$90,A5)</f>
        <v/>
      </c>
      <c r="C5" s="24">
        <f>COUNTIFS(Источники!$B$2:$B$90,A5,Источники!$J$2:$J$90,1)</f>
        <v/>
      </c>
      <c r="D5" s="24">
        <f>COUNTIFS(Источники!$B$2:$B$90,A5,Источники!$K$2:$K$90,"да")</f>
        <v/>
      </c>
      <c r="E5" s="24">
        <f>B5-D5</f>
        <v/>
      </c>
    </row>
    <row r="6" ht="15" customHeight="1" s="11">
      <c r="A6" s="24" t="inlineStr">
        <is>
          <t>Фестивали</t>
        </is>
      </c>
      <c r="B6" s="24">
        <f>COUNTIF(Источники!$B$2:$B$90,A6)</f>
        <v/>
      </c>
      <c r="C6" s="24">
        <f>COUNTIFS(Источники!$B$2:$B$90,A6,Источники!$J$2:$J$90,1)</f>
        <v/>
      </c>
      <c r="D6" s="24">
        <f>COUNTIFS(Источники!$B$2:$B$90,A6,Источники!$K$2:$K$90,"да")</f>
        <v/>
      </c>
      <c r="E6" s="24">
        <f>B6-D6</f>
        <v/>
      </c>
    </row>
    <row r="7" ht="15" customHeight="1" s="11">
      <c r="A7" s="24" t="inlineStr">
        <is>
          <t>Ярмарки</t>
        </is>
      </c>
      <c r="B7" s="24">
        <f>COUNTIF(Источники!$B$2:$B$90,A7)</f>
        <v/>
      </c>
      <c r="C7" s="24">
        <f>COUNTIFS(Источники!$B$2:$B$90,A7,Источники!$J$2:$J$90,1)</f>
        <v/>
      </c>
      <c r="D7" s="24">
        <f>COUNTIFS(Источники!$B$2:$B$90,A7,Источники!$K$2:$K$90,"да")</f>
        <v/>
      </c>
      <c r="E7" s="24">
        <f>B7-D7</f>
        <v/>
      </c>
    </row>
    <row r="8" ht="15" customHeight="1" s="11">
      <c r="A8" s="24" t="inlineStr">
        <is>
          <t>Театр</t>
        </is>
      </c>
      <c r="B8" s="24">
        <f>COUNTIF(Источники!$B$2:$B$90,A8)</f>
        <v/>
      </c>
      <c r="C8" s="24">
        <f>COUNTIFS(Источники!$B$2:$B$90,A8,Источники!$J$2:$J$90,1)</f>
        <v/>
      </c>
      <c r="D8" s="24">
        <f>COUNTIFS(Источники!$B$2:$B$90,A8,Источники!$K$2:$K$90,"да")</f>
        <v/>
      </c>
      <c r="E8" s="24">
        <f>B8-D8</f>
        <v/>
      </c>
    </row>
    <row r="9" ht="15" customHeight="1" s="11">
      <c r="A9" s="24" t="inlineStr">
        <is>
          <t>Кино</t>
        </is>
      </c>
      <c r="B9" s="24">
        <f>COUNTIF(Источники!$B$2:$B$90,A9)</f>
        <v/>
      </c>
      <c r="C9" s="24">
        <f>COUNTIFS(Источники!$B$2:$B$90,A9,Источники!$J$2:$J$90,1)</f>
        <v/>
      </c>
      <c r="D9" s="24">
        <f>COUNTIFS(Источники!$B$2:$B$90,A9,Источники!$K$2:$K$90,"да")</f>
        <v/>
      </c>
      <c r="E9" s="24">
        <f>B9-D9</f>
        <v/>
      </c>
    </row>
    <row r="10" ht="15" customHeight="1" s="11">
      <c r="A10" s="24" t="inlineStr">
        <is>
          <t>Лекции</t>
        </is>
      </c>
      <c r="B10" s="24">
        <f>COUNTIF(Источники!$B$2:$B$90,A10)</f>
        <v/>
      </c>
      <c r="C10" s="24">
        <f>COUNTIFS(Источники!$B$2:$B$90,A10,Источники!$J$2:$J$90,1)</f>
        <v/>
      </c>
      <c r="D10" s="24">
        <f>COUNTIFS(Источники!$B$2:$B$90,A10,Источники!$K$2:$K$90,"да")</f>
        <v/>
      </c>
      <c r="E10" s="24">
        <f>B10-D10</f>
        <v/>
      </c>
    </row>
    <row r="11" ht="15" customHeight="1" s="11">
      <c r="A11" s="24" t="inlineStr">
        <is>
          <t>Выставки и музеи</t>
        </is>
      </c>
      <c r="B11" s="24">
        <f>COUNTIF(Источники!$B$2:$B$90,A11)</f>
        <v/>
      </c>
      <c r="C11" s="24">
        <f>COUNTIFS(Источники!$B$2:$B$90,A11,Источники!$J$2:$J$90,1)</f>
        <v/>
      </c>
      <c r="D11" s="24">
        <f>COUNTIFS(Источники!$B$2:$B$90,A11,Источники!$K$2:$K$90,"да")</f>
        <v/>
      </c>
      <c r="E11" s="24">
        <f>B11-D11</f>
        <v/>
      </c>
    </row>
    <row r="12" ht="15" customHeight="1" s="11">
      <c r="A12" s="24" t="inlineStr">
        <is>
          <t>Детям и семьям</t>
        </is>
      </c>
      <c r="B12" s="24">
        <f>COUNTIF(Источники!$B$2:$B$90,A12)</f>
        <v/>
      </c>
      <c r="C12" s="24">
        <f>COUNTIFS(Источники!$B$2:$B$90,A12,Источники!$J$2:$J$90,1)</f>
        <v/>
      </c>
      <c r="D12" s="24">
        <f>COUNTIFS(Источники!$B$2:$B$90,A12,Источники!$K$2:$K$90,"да")</f>
        <v/>
      </c>
      <c r="E12" s="24">
        <f>B12-D12</f>
        <v/>
      </c>
    </row>
    <row r="13" ht="15" customHeight="1" s="11">
      <c r="A13" s="24" t="inlineStr">
        <is>
          <t>Еда и напитки</t>
        </is>
      </c>
      <c r="B13" s="24">
        <f>COUNTIF(Источники!$B$2:$B$90,A13)</f>
        <v/>
      </c>
      <c r="C13" s="24">
        <f>COUNTIFS(Источники!$B$2:$B$90,A13,Источники!$J$2:$J$90,1)</f>
        <v/>
      </c>
      <c r="D13" s="24">
        <f>COUNTIFS(Источники!$B$2:$B$90,A13,Источники!$K$2:$K$90,"да")</f>
        <v/>
      </c>
      <c r="E13" s="24">
        <f>B13-D13</f>
        <v/>
      </c>
    </row>
    <row r="14" ht="15" customHeight="1" s="11">
      <c r="A14" s="24" t="inlineStr">
        <is>
          <t>Рынки и барахолки</t>
        </is>
      </c>
      <c r="B14" s="24">
        <f>COUNTIF(Источники!$B$2:$B$90,A14)</f>
        <v/>
      </c>
      <c r="C14" s="24">
        <f>COUNTIFS(Источники!$B$2:$B$90,A14,Источники!$J$2:$J$90,1)</f>
        <v/>
      </c>
      <c r="D14" s="24">
        <f>COUNTIFS(Источники!$B$2:$B$90,A14,Источники!$K$2:$K$90,"да")</f>
        <v/>
      </c>
      <c r="E14" s="24">
        <f>B14-D14</f>
        <v/>
      </c>
    </row>
    <row r="15" ht="15" customHeight="1" s="11">
      <c r="A15" s="24" t="inlineStr">
        <is>
          <t>Комедия и стендап</t>
        </is>
      </c>
      <c r="B15" s="24">
        <f>COUNTIF(Источники!$B$2:$B$90,A15)</f>
        <v/>
      </c>
      <c r="C15" s="24">
        <f>COUNTIFS(Источники!$B$2:$B$90,A15,Источники!$J$2:$J$90,1)</f>
        <v/>
      </c>
      <c r="D15" s="24">
        <f>COUNTIFS(Источники!$B$2:$B$90,A15,Источники!$K$2:$K$90,"да")</f>
        <v/>
      </c>
      <c r="E15" s="24">
        <f>B15-D15</f>
        <v/>
      </c>
    </row>
    <row r="16" ht="15" customHeight="1" s="11">
      <c r="A16" s="24" t="inlineStr">
        <is>
          <t>Ночная жизнь</t>
        </is>
      </c>
      <c r="B16" s="24">
        <f>COUNTIF(Источники!$B$2:$B$90,A16)</f>
        <v/>
      </c>
      <c r="C16" s="24">
        <f>COUNTIFS(Источники!$B$2:$B$90,A16,Источники!$J$2:$J$90,1)</f>
        <v/>
      </c>
      <c r="D16" s="24">
        <f>COUNTIFS(Источники!$B$2:$B$90,A16,Источники!$K$2:$K$90,"да")</f>
        <v/>
      </c>
      <c r="E16" s="24">
        <f>B16-D16</f>
        <v/>
      </c>
    </row>
    <row r="17" ht="15" customHeight="1" s="11">
      <c r="A17" s="24" t="inlineStr">
        <is>
          <t>Открытые двери и экскурсии</t>
        </is>
      </c>
      <c r="B17" s="24">
        <f>COUNTIF(Источники!$B$2:$B$90,A17)</f>
        <v/>
      </c>
      <c r="C17" s="24">
        <f>COUNTIFS(Источники!$B$2:$B$90,A17,Источники!$J$2:$J$90,1)</f>
        <v/>
      </c>
      <c r="D17" s="24">
        <f>COUNTIFS(Источники!$B$2:$B$90,A17,Источники!$K$2:$K$90,"да")</f>
        <v/>
      </c>
      <c r="E17" s="24">
        <f>B17-D17</f>
        <v/>
      </c>
    </row>
    <row r="18" ht="15" customHeight="1" s="11">
      <c r="A18" s="24" t="inlineStr">
        <is>
          <t>Природа и загородные поездки</t>
        </is>
      </c>
      <c r="B18" s="24">
        <f>COUNTIF(Источники!$B$2:$B$90,A18)</f>
        <v/>
      </c>
      <c r="C18" s="24">
        <f>COUNTIFS(Источники!$B$2:$B$90,A18,Источники!$J$2:$J$90,1)</f>
        <v/>
      </c>
      <c r="D18" s="24">
        <f>COUNTIFS(Источники!$B$2:$B$90,A18,Источники!$K$2:$K$90,"да")</f>
        <v/>
      </c>
      <c r="E18" s="24">
        <f>B18-D18</f>
        <v/>
      </c>
    </row>
    <row r="19" ht="15" customHeight="1" s="11">
      <c r="A19" s="24" t="inlineStr">
        <is>
          <t>Праздники и сезонное</t>
        </is>
      </c>
      <c r="B19" s="24">
        <f>COUNTIF(Источники!$B$2:$B$90,A19)</f>
        <v/>
      </c>
      <c r="C19" s="24">
        <f>COUNTIFS(Источники!$B$2:$B$90,A19,Источники!$J$2:$J$90,1)</f>
        <v/>
      </c>
      <c r="D19" s="24">
        <f>COUNTIFS(Источники!$B$2:$B$90,A19,Источники!$K$2:$K$90,"да")</f>
        <v/>
      </c>
      <c r="E19" s="24">
        <f>B19-D19</f>
        <v/>
      </c>
    </row>
    <row r="20" ht="15" customHeight="1" s="11">
      <c r="A20" s="24" t="inlineStr">
        <is>
          <t>Воркшопы и курсы</t>
        </is>
      </c>
      <c r="B20" s="24">
        <f>COUNTIF(Источники!$B$2:$B$90,A20)</f>
        <v/>
      </c>
      <c r="C20" s="24">
        <f>COUNTIFS(Источники!$B$2:$B$90,A20,Источники!$J$2:$J$90,1)</f>
        <v/>
      </c>
      <c r="D20" s="24">
        <f>COUNTIFS(Источники!$B$2:$B$90,A20,Источники!$K$2:$K$90,"да")</f>
        <v/>
      </c>
      <c r="E20" s="24">
        <f>B20-D20</f>
        <v/>
      </c>
    </row>
    <row r="21" ht="15" customHeight="1" s="11">
      <c r="A21" s="24" t="inlineStr">
        <is>
          <t>Сообщества и благотворительность</t>
        </is>
      </c>
      <c r="B21" s="24">
        <f>COUNTIF(Источники!$B$2:$B$90,A21)</f>
        <v/>
      </c>
      <c r="C21" s="24">
        <f>COUNTIFS(Источники!$B$2:$B$90,A21,Источники!$J$2:$J$90,1)</f>
        <v/>
      </c>
      <c r="D21" s="24">
        <f>COUNTIFS(Источники!$B$2:$B$90,A21,Источники!$K$2:$K$90,"да")</f>
        <v/>
      </c>
      <c r="E21" s="24">
        <f>B21-D21</f>
        <v/>
      </c>
    </row>
    <row r="22" ht="15" customHeight="1" s="11">
      <c r="A22" s="24" t="inlineStr">
        <is>
          <t>Практическое</t>
        </is>
      </c>
      <c r="B22" s="24">
        <f>COUNTIF(Источники!$B$2:$B$90,A22)</f>
        <v/>
      </c>
      <c r="C22" s="24">
        <f>COUNTIFS(Источники!$B$2:$B$90,A22,Источники!$J$2:$J$90,1)</f>
        <v/>
      </c>
      <c r="D22" s="24">
        <f>COUNTIFS(Источники!$B$2:$B$90,A22,Источники!$K$2:$K$90,"да")</f>
        <v/>
      </c>
      <c r="E22" s="24">
        <f>B22-D22</f>
        <v/>
      </c>
    </row>
    <row r="23" ht="15" customHeight="1" s="11">
      <c r="A23" s="25" t="inlineStr">
        <is>
          <t>Итого</t>
        </is>
      </c>
      <c r="B23" s="25">
        <f>SUM(B2:B22)</f>
        <v/>
      </c>
      <c r="C23" s="25">
        <f>SUM(C2:C22)</f>
        <v/>
      </c>
      <c r="D23" s="25">
        <f>SUM(D2:D22)</f>
        <v/>
      </c>
      <c r="E23" s="25">
        <f>SUM(E2:E22)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8" customWidth="1" style="10" min="2" max="2"/>
    <col width="16" customWidth="1" style="10" min="3" max="3"/>
    <col width="34" customWidth="1" style="10" min="4" max="4"/>
    <col width="52" customWidth="1" style="10" min="5" max="5"/>
  </cols>
  <sheetData>
    <row r="1" ht="15" customHeight="1" s="11">
      <c r="A1" s="23" t="inlineStr">
        <is>
          <t>Поле</t>
        </is>
      </c>
      <c r="B1" s="23" t="inlineStr">
        <is>
          <t>Тип</t>
        </is>
      </c>
      <c r="C1" s="23" t="inlineStr">
        <is>
          <t>Обязательное</t>
        </is>
      </c>
      <c r="D1" s="23" t="inlineStr">
        <is>
          <t>Пример</t>
        </is>
      </c>
      <c r="E1" s="23" t="inlineStr">
        <is>
          <t>Комментарий</t>
        </is>
      </c>
    </row>
    <row r="2" ht="15" customHeight="1" s="11">
      <c r="A2" s="26" t="inlineStr">
        <is>
          <t>event_id</t>
        </is>
      </c>
      <c r="B2" s="26" t="inlineStr">
        <is>
          <t>текст</t>
        </is>
      </c>
      <c r="C2" s="26" t="inlineStr">
        <is>
          <t>да</t>
        </is>
      </c>
      <c r="D2" s="26" t="inlineStr">
        <is>
          <t>EV-2026-000123</t>
        </is>
      </c>
      <c r="E2" s="26" t="inlineStr">
        <is>
          <t>Внутренний ID</t>
        </is>
      </c>
    </row>
    <row r="3" ht="15" customHeight="1" s="11">
      <c r="A3" s="26" t="inlineStr">
        <is>
          <t>title</t>
        </is>
      </c>
      <c r="B3" s="26" t="inlineStr">
        <is>
          <t>текст</t>
        </is>
      </c>
      <c r="C3" s="26" t="inlineStr">
        <is>
          <t>да</t>
        </is>
      </c>
      <c r="D3" s="26" t="inlineStr">
        <is>
          <t>Cambridge United vs AFC Wimbledon</t>
        </is>
      </c>
      <c r="E3" s="26" t="n"/>
    </row>
    <row r="4" ht="15" customHeight="1" s="11">
      <c r="A4" s="26" t="inlineStr">
        <is>
          <t>category</t>
        </is>
      </c>
      <c r="B4" s="26" t="inlineStr">
        <is>
          <t>список</t>
        </is>
      </c>
      <c r="C4" s="26" t="inlineStr">
        <is>
          <t>да</t>
        </is>
      </c>
      <c r="D4" s="26" t="inlineStr">
        <is>
          <t>Спорт — смотреть</t>
        </is>
      </c>
      <c r="E4" s="26" t="inlineStr">
        <is>
          <t>Из листа «Категории и теги»</t>
        </is>
      </c>
    </row>
    <row r="5" ht="15" customHeight="1" s="11">
      <c r="A5" s="26" t="inlineStr">
        <is>
          <t>date_start</t>
        </is>
      </c>
      <c r="B5" s="26" t="inlineStr">
        <is>
          <t>дата</t>
        </is>
      </c>
      <c r="C5" s="26" t="inlineStr">
        <is>
          <t>да</t>
        </is>
      </c>
      <c r="D5" s="26" t="inlineStr">
        <is>
          <t>2026-09-26</t>
        </is>
      </c>
      <c r="E5" s="26" t="n"/>
    </row>
    <row r="6" ht="15" customHeight="1" s="11">
      <c r="A6" s="26" t="inlineStr">
        <is>
          <t>time_start</t>
        </is>
      </c>
      <c r="B6" s="26" t="inlineStr">
        <is>
          <t>время</t>
        </is>
      </c>
      <c r="C6" s="26" t="inlineStr">
        <is>
          <t>да, если известно</t>
        </is>
      </c>
      <c r="D6" s="26" t="inlineStr">
        <is>
          <t>15:00</t>
        </is>
      </c>
      <c r="E6" s="26" t="inlineStr">
        <is>
          <t>Пусто = весь день</t>
        </is>
      </c>
    </row>
    <row r="7" ht="15" customHeight="1" s="11">
      <c r="A7" s="26" t="inlineStr">
        <is>
          <t>date_end</t>
        </is>
      </c>
      <c r="B7" s="26" t="inlineStr">
        <is>
          <t>дата</t>
        </is>
      </c>
      <c r="C7" s="26" t="inlineStr">
        <is>
          <t>нет</t>
        </is>
      </c>
      <c r="D7" s="26" t="inlineStr">
        <is>
          <t>2026-09-26</t>
        </is>
      </c>
      <c r="E7" s="26" t="inlineStr">
        <is>
          <t>Для многодневных</t>
        </is>
      </c>
    </row>
    <row r="8" ht="15" customHeight="1" s="11">
      <c r="A8" s="26" t="inlineStr">
        <is>
          <t>time_end</t>
        </is>
      </c>
      <c r="B8" s="26" t="inlineStr">
        <is>
          <t>время</t>
        </is>
      </c>
      <c r="C8" s="26" t="inlineStr">
        <is>
          <t>нет</t>
        </is>
      </c>
      <c r="D8" s="26" t="inlineStr">
        <is>
          <t>17:00</t>
        </is>
      </c>
      <c r="E8" s="26" t="n"/>
    </row>
    <row r="9" ht="15" customHeight="1" s="11">
      <c r="A9" s="26" t="inlineStr">
        <is>
          <t>venue_name</t>
        </is>
      </c>
      <c r="B9" s="26" t="inlineStr">
        <is>
          <t>текст</t>
        </is>
      </c>
      <c r="C9" s="26" t="inlineStr">
        <is>
          <t>да</t>
        </is>
      </c>
      <c r="D9" s="26" t="inlineStr">
        <is>
          <t>Abbey Stadium</t>
        </is>
      </c>
      <c r="E9" s="26" t="n"/>
    </row>
    <row r="10" ht="15" customHeight="1" s="11">
      <c r="A10" s="26" t="inlineStr">
        <is>
          <t>address</t>
        </is>
      </c>
      <c r="B10" s="26" t="inlineStr">
        <is>
          <t>текст</t>
        </is>
      </c>
      <c r="C10" s="26" t="inlineStr">
        <is>
          <t>да</t>
        </is>
      </c>
      <c r="D10" s="26" t="inlineStr">
        <is>
          <t>Newmarket Road, Cambridge</t>
        </is>
      </c>
      <c r="E10" s="26" t="inlineStr">
        <is>
          <t>Точный адрес</t>
        </is>
      </c>
    </row>
    <row r="11" ht="15" customHeight="1" s="11">
      <c r="A11" s="26" t="inlineStr">
        <is>
          <t>postcode</t>
        </is>
      </c>
      <c r="B11" s="26" t="inlineStr">
        <is>
          <t>текст</t>
        </is>
      </c>
      <c r="C11" s="26" t="inlineStr">
        <is>
          <t>да</t>
        </is>
      </c>
      <c r="D11" s="26" t="inlineStr">
        <is>
          <t>(заполнять из источника)</t>
        </is>
      </c>
      <c r="E11" s="26" t="inlineStr">
        <is>
          <t>Для карты и расчёта зоны</t>
        </is>
      </c>
    </row>
    <row r="12" ht="15" customHeight="1" s="11">
      <c r="A12" s="26" t="inlineStr">
        <is>
          <t>lat / lon</t>
        </is>
      </c>
      <c r="B12" s="26" t="inlineStr">
        <is>
          <t>число</t>
        </is>
      </c>
      <c r="C12" s="26" t="inlineStr">
        <is>
          <t>нет</t>
        </is>
      </c>
      <c r="D12" s="26" t="inlineStr">
        <is>
          <t>52.21, 0.15</t>
        </is>
      </c>
      <c r="E12" s="26" t="inlineStr">
        <is>
          <t>Геокодирование по postcode</t>
        </is>
      </c>
    </row>
    <row r="13" ht="15" customHeight="1" s="11">
      <c r="A13" s="26" t="inlineStr">
        <is>
          <t>zone</t>
        </is>
      </c>
      <c r="B13" s="26" t="inlineStr">
        <is>
          <t>список</t>
        </is>
      </c>
      <c r="C13" s="26" t="inlineStr">
        <is>
          <t>да</t>
        </is>
      </c>
      <c r="D13" s="26" t="inlineStr">
        <is>
          <t>Центр</t>
        </is>
      </c>
      <c r="E13" s="26" t="inlineStr">
        <is>
          <t>Тег: Центр / до 30 мин / до часа — считается автоматически</t>
        </is>
      </c>
    </row>
    <row r="14" ht="15" customHeight="1" s="11">
      <c r="A14" s="26" t="inlineStr">
        <is>
          <t>price_from</t>
        </is>
      </c>
      <c r="B14" s="26" t="inlineStr">
        <is>
          <t>число, £</t>
        </is>
      </c>
      <c r="C14" s="26" t="inlineStr">
        <is>
          <t>нет</t>
        </is>
      </c>
      <c r="D14" s="26" t="inlineStr">
        <is>
          <t>0</t>
        </is>
      </c>
      <c r="E14" s="26" t="inlineStr">
        <is>
          <t>0 = бесплатно</t>
        </is>
      </c>
    </row>
    <row r="15" ht="15" customHeight="1" s="11">
      <c r="A15" s="26" t="inlineStr">
        <is>
          <t>price_tag</t>
        </is>
      </c>
      <c r="B15" s="26" t="inlineStr">
        <is>
          <t>список</t>
        </is>
      </c>
      <c r="C15" s="26" t="inlineStr">
        <is>
          <t>да</t>
        </is>
      </c>
      <c r="D15" s="26" t="inlineStr">
        <is>
          <t>бесплатно / до £10 / дороже</t>
        </is>
      </c>
      <c r="E15" s="26" t="n"/>
    </row>
    <row r="16" ht="15" customHeight="1" s="11">
      <c r="A16" s="26" t="inlineStr">
        <is>
          <t>audience</t>
        </is>
      </c>
      <c r="B16" s="26" t="inlineStr">
        <is>
          <t>список (несколько)</t>
        </is>
      </c>
      <c r="C16" s="26" t="inlineStr">
        <is>
          <t>нет</t>
        </is>
      </c>
      <c r="D16" s="26" t="inlineStr">
        <is>
          <t>дети 5–12; семьи</t>
        </is>
      </c>
      <c r="E16" s="26" t="n"/>
    </row>
    <row r="17" ht="23.85" customHeight="1" s="11">
      <c r="A17" s="26" t="inlineStr">
        <is>
          <t>booking</t>
        </is>
      </c>
      <c r="B17" s="26" t="inlineStr">
        <is>
          <t>список</t>
        </is>
      </c>
      <c r="C17" s="26" t="inlineStr">
        <is>
          <t>да</t>
        </is>
      </c>
      <c r="D17" s="26" t="inlineStr">
        <is>
          <t>без билетов / бронировать / продажа скоро</t>
        </is>
      </c>
      <c r="E17" s="26" t="n"/>
    </row>
    <row r="18" ht="15" customHeight="1" s="11">
      <c r="A18" s="26" t="inlineStr">
        <is>
          <t>status</t>
        </is>
      </c>
      <c r="B18" s="26" t="inlineStr">
        <is>
          <t>список</t>
        </is>
      </c>
      <c r="C18" s="26" t="inlineStr">
        <is>
          <t>да</t>
        </is>
      </c>
      <c r="D18" s="26" t="inlineStr">
        <is>
          <t>по плану</t>
        </is>
      </c>
      <c r="E18" s="26" t="inlineStr">
        <is>
          <t>по плану / перенесено / отменено / sold out</t>
        </is>
      </c>
    </row>
    <row r="19" ht="15" customHeight="1" s="11">
      <c r="A19" s="26" t="inlineStr">
        <is>
          <t>ticket_url</t>
        </is>
      </c>
      <c r="B19" s="26" t="inlineStr">
        <is>
          <t>URL</t>
        </is>
      </c>
      <c r="C19" s="26" t="inlineStr">
        <is>
          <t>нет</t>
        </is>
      </c>
      <c r="D19" s="26" t="n"/>
      <c r="E19" s="26" t="inlineStr">
        <is>
          <t>Здесь партнёрская ссылка, если есть</t>
        </is>
      </c>
    </row>
    <row r="20" ht="15" customHeight="1" s="11">
      <c r="A20" s="26" t="inlineStr">
        <is>
          <t>source_id</t>
        </is>
      </c>
      <c r="B20" s="26" t="inlineStr">
        <is>
          <t>ссылка</t>
        </is>
      </c>
      <c r="C20" s="26" t="inlineStr">
        <is>
          <t>да</t>
        </is>
      </c>
      <c r="D20" s="26" t="inlineStr">
        <is>
          <t>S018</t>
        </is>
      </c>
      <c r="E20" s="26" t="inlineStr">
        <is>
          <t>ID из листа «Источники»</t>
        </is>
      </c>
    </row>
    <row r="21" ht="15" customHeight="1" s="11">
      <c r="A21" s="26" t="inlineStr">
        <is>
          <t>source_url</t>
        </is>
      </c>
      <c r="B21" s="26" t="inlineStr">
        <is>
          <t>URL</t>
        </is>
      </c>
      <c r="C21" s="26" t="inlineStr">
        <is>
          <t>да</t>
        </is>
      </c>
      <c r="D21" s="26" t="n"/>
      <c r="E21" s="26" t="inlineStr">
        <is>
          <t>Страница события у первоисточника</t>
        </is>
      </c>
    </row>
    <row r="22" ht="15" customHeight="1" s="11">
      <c r="A22" s="26" t="inlineStr">
        <is>
          <t>description_short</t>
        </is>
      </c>
      <c r="B22" s="26" t="inlineStr">
        <is>
          <t>текст</t>
        </is>
      </c>
      <c r="C22" s="26" t="inlineStr">
        <is>
          <t>да</t>
        </is>
      </c>
      <c r="D22" s="26" t="n"/>
      <c r="E22" s="26" t="inlineStr">
        <is>
          <t>2–3 предложения своими словами (не копировать)</t>
        </is>
      </c>
    </row>
    <row r="23" ht="15" customHeight="1" s="11">
      <c r="A23" s="26" t="inlineStr">
        <is>
          <t>score</t>
        </is>
      </c>
      <c r="B23" s="26" t="inlineStr">
        <is>
          <t>число 1–10</t>
        </is>
      </c>
      <c r="C23" s="26" t="inlineStr">
        <is>
          <t>нет</t>
        </is>
      </c>
      <c r="D23" s="26" t="inlineStr">
        <is>
          <t>8</t>
        </is>
      </c>
      <c r="E23" s="26" t="inlineStr">
        <is>
          <t>Оценка LLM «стоит ли внимания»</t>
        </is>
      </c>
    </row>
    <row r="24" ht="15" customHeight="1" s="11">
      <c r="A24" s="26" t="inlineStr">
        <is>
          <t>last_checked</t>
        </is>
      </c>
      <c r="B24" s="26" t="inlineStr">
        <is>
          <t>дата-время</t>
        </is>
      </c>
      <c r="C24" s="26" t="inlineStr">
        <is>
          <t>да</t>
        </is>
      </c>
      <c r="D24" s="26" t="n"/>
      <c r="E24" s="26" t="inlineStr">
        <is>
          <t>Когда контур отмен последний раз проверял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" min="1" max="1"/>
    <col width="36" customWidth="1" style="10" min="2" max="2"/>
  </cols>
  <sheetData>
    <row r="1" ht="15" customHeight="1" s="11">
      <c r="A1" s="23" t="inlineStr">
        <is>
          <t>Ось</t>
        </is>
      </c>
      <c r="B1" s="23" t="inlineStr">
        <is>
          <t>Значение</t>
        </is>
      </c>
    </row>
    <row r="2" ht="15" customHeight="1" s="11">
      <c r="A2" s="24" t="inlineStr">
        <is>
          <t>Категория</t>
        </is>
      </c>
      <c r="B2" s="24" t="inlineStr">
        <is>
          <t>Концерты</t>
        </is>
      </c>
    </row>
    <row r="3" ht="15" customHeight="1" s="11">
      <c r="A3" s="24" t="inlineStr">
        <is>
          <t>Категория</t>
        </is>
      </c>
      <c r="B3" s="24" t="inlineStr">
        <is>
          <t>Спорт — смотреть</t>
        </is>
      </c>
    </row>
    <row r="4" ht="15" customHeight="1" s="11">
      <c r="A4" s="24" t="inlineStr">
        <is>
          <t>Категория</t>
        </is>
      </c>
      <c r="B4" s="24" t="inlineStr">
        <is>
          <t>Спорт — участвовать</t>
        </is>
      </c>
    </row>
    <row r="5" ht="15" customHeight="1" s="11">
      <c r="A5" s="24" t="inlineStr">
        <is>
          <t>Категория</t>
        </is>
      </c>
      <c r="B5" s="24" t="inlineStr">
        <is>
          <t>Фестивали</t>
        </is>
      </c>
    </row>
    <row r="6" ht="15" customHeight="1" s="11">
      <c r="A6" s="24" t="inlineStr">
        <is>
          <t>Категория</t>
        </is>
      </c>
      <c r="B6" s="24" t="inlineStr">
        <is>
          <t>Ярмарки</t>
        </is>
      </c>
    </row>
    <row r="7" ht="15" customHeight="1" s="11">
      <c r="A7" s="24" t="inlineStr">
        <is>
          <t>Категория</t>
        </is>
      </c>
      <c r="B7" s="24" t="inlineStr">
        <is>
          <t>Театр</t>
        </is>
      </c>
    </row>
    <row r="8" ht="15" customHeight="1" s="11">
      <c r="A8" s="24" t="inlineStr">
        <is>
          <t>Категория</t>
        </is>
      </c>
      <c r="B8" s="24" t="inlineStr">
        <is>
          <t>Кино</t>
        </is>
      </c>
    </row>
    <row r="9" ht="15" customHeight="1" s="11">
      <c r="A9" s="24" t="inlineStr">
        <is>
          <t>Категория</t>
        </is>
      </c>
      <c r="B9" s="24" t="inlineStr">
        <is>
          <t>Лекции</t>
        </is>
      </c>
    </row>
    <row r="10" ht="15" customHeight="1" s="11">
      <c r="A10" s="24" t="inlineStr">
        <is>
          <t>Категория</t>
        </is>
      </c>
      <c r="B10" s="24" t="inlineStr">
        <is>
          <t>Выставки и музеи</t>
        </is>
      </c>
    </row>
    <row r="11" ht="15" customHeight="1" s="11">
      <c r="A11" s="24" t="inlineStr">
        <is>
          <t>Категория</t>
        </is>
      </c>
      <c r="B11" s="24" t="inlineStr">
        <is>
          <t>Детям и семьям</t>
        </is>
      </c>
    </row>
    <row r="12" ht="15" customHeight="1" s="11">
      <c r="A12" s="24" t="inlineStr">
        <is>
          <t>Категория</t>
        </is>
      </c>
      <c r="B12" s="24" t="inlineStr">
        <is>
          <t>Еда и напитки</t>
        </is>
      </c>
    </row>
    <row r="13" ht="15" customHeight="1" s="11">
      <c r="A13" s="24" t="inlineStr">
        <is>
          <t>Категория</t>
        </is>
      </c>
      <c r="B13" s="24" t="inlineStr">
        <is>
          <t>Рынки и барахолки</t>
        </is>
      </c>
    </row>
    <row r="14" ht="15" customHeight="1" s="11">
      <c r="A14" s="24" t="inlineStr">
        <is>
          <t>Категория</t>
        </is>
      </c>
      <c r="B14" s="24" t="inlineStr">
        <is>
          <t>Комедия и стендап</t>
        </is>
      </c>
    </row>
    <row r="15" ht="15" customHeight="1" s="11">
      <c r="A15" s="24" t="inlineStr">
        <is>
          <t>Категория</t>
        </is>
      </c>
      <c r="B15" s="24" t="inlineStr">
        <is>
          <t>Ночная жизнь</t>
        </is>
      </c>
    </row>
    <row r="16" ht="15" customHeight="1" s="11">
      <c r="A16" s="24" t="inlineStr">
        <is>
          <t>Категория</t>
        </is>
      </c>
      <c r="B16" s="24" t="inlineStr">
        <is>
          <t>Открытые двери и экскурсии</t>
        </is>
      </c>
    </row>
    <row r="17" ht="15" customHeight="1" s="11">
      <c r="A17" s="24" t="inlineStr">
        <is>
          <t>Категория</t>
        </is>
      </c>
      <c r="B17" s="24" t="inlineStr">
        <is>
          <t>Природа и загородные поездки</t>
        </is>
      </c>
    </row>
    <row r="18" ht="15" customHeight="1" s="11">
      <c r="A18" s="24" t="inlineStr">
        <is>
          <t>Категория</t>
        </is>
      </c>
      <c r="B18" s="24" t="inlineStr">
        <is>
          <t>Праздники и сезонное</t>
        </is>
      </c>
    </row>
    <row r="19" ht="15" customHeight="1" s="11">
      <c r="A19" s="24" t="inlineStr">
        <is>
          <t>Категория</t>
        </is>
      </c>
      <c r="B19" s="24" t="inlineStr">
        <is>
          <t>Воркшопы и курсы</t>
        </is>
      </c>
    </row>
    <row r="20" ht="15" customHeight="1" s="11">
      <c r="A20" s="24" t="inlineStr">
        <is>
          <t>Категория</t>
        </is>
      </c>
      <c r="B20" s="24" t="inlineStr">
        <is>
          <t>Сообщества и благотворительность</t>
        </is>
      </c>
    </row>
    <row r="21" ht="15" customHeight="1" s="11">
      <c r="A21" s="24" t="inlineStr">
        <is>
          <t>Категория</t>
        </is>
      </c>
      <c r="B21" s="24" t="inlineStr">
        <is>
          <t>Практическое</t>
        </is>
      </c>
    </row>
    <row r="22" ht="15" customHeight="1" s="11">
      <c r="A22" s="24" t="inlineStr">
        <is>
          <t>Аудитория</t>
        </is>
      </c>
      <c r="B22" s="24" t="inlineStr">
        <is>
          <t>дети до 5</t>
        </is>
      </c>
    </row>
    <row r="23" ht="15" customHeight="1" s="11">
      <c r="A23" s="24" t="inlineStr">
        <is>
          <t>Аудитория</t>
        </is>
      </c>
      <c r="B23" s="24" t="inlineStr">
        <is>
          <t>дети 5–12</t>
        </is>
      </c>
    </row>
    <row r="24" ht="15" customHeight="1" s="11">
      <c r="A24" s="24" t="inlineStr">
        <is>
          <t>Аудитория</t>
        </is>
      </c>
      <c r="B24" s="24" t="inlineStr">
        <is>
          <t>подростки</t>
        </is>
      </c>
    </row>
    <row r="25" ht="15" customHeight="1" s="11">
      <c r="A25" s="24" t="inlineStr">
        <is>
          <t>Аудитория</t>
        </is>
      </c>
      <c r="B25" s="24" t="inlineStr">
        <is>
          <t>семьи</t>
        </is>
      </c>
    </row>
    <row r="26" ht="15" customHeight="1" s="11">
      <c r="A26" s="24" t="inlineStr">
        <is>
          <t>Аудитория</t>
        </is>
      </c>
      <c r="B26" s="24" t="inlineStr">
        <is>
          <t>18+</t>
        </is>
      </c>
    </row>
    <row r="27" ht="15" customHeight="1" s="11">
      <c r="A27" s="24" t="inlineStr">
        <is>
          <t>Цена</t>
        </is>
      </c>
      <c r="B27" s="24" t="inlineStr">
        <is>
          <t>бесплатно</t>
        </is>
      </c>
    </row>
    <row r="28" ht="15" customHeight="1" s="11">
      <c r="A28" s="24" t="inlineStr">
        <is>
          <t>Цена</t>
        </is>
      </c>
      <c r="B28" s="24" t="inlineStr">
        <is>
          <t>до £10</t>
        </is>
      </c>
    </row>
    <row r="29" ht="15" customHeight="1" s="11">
      <c r="A29" s="24" t="inlineStr">
        <is>
          <t>Цена</t>
        </is>
      </c>
      <c r="B29" s="24" t="inlineStr">
        <is>
          <t>дороже</t>
        </is>
      </c>
    </row>
    <row r="30" ht="15" customHeight="1" s="11">
      <c r="A30" s="24" t="inlineStr">
        <is>
          <t>Зона</t>
        </is>
      </c>
      <c r="B30" s="24" t="inlineStr">
        <is>
          <t>Центр</t>
        </is>
      </c>
    </row>
    <row r="31" ht="15" customHeight="1" s="11">
      <c r="A31" s="24" t="inlineStr">
        <is>
          <t>Зона</t>
        </is>
      </c>
      <c r="B31" s="24" t="inlineStr">
        <is>
          <t>до 30 мин</t>
        </is>
      </c>
    </row>
    <row r="32" ht="15" customHeight="1" s="11">
      <c r="A32" s="24" t="inlineStr">
        <is>
          <t>Зона</t>
        </is>
      </c>
      <c r="B32" s="24" t="inlineStr">
        <is>
          <t>до часа</t>
        </is>
      </c>
    </row>
    <row r="33" ht="15" customHeight="1" s="11">
      <c r="A33" s="24" t="inlineStr">
        <is>
          <t>Бронирование</t>
        </is>
      </c>
      <c r="B33" s="24" t="inlineStr">
        <is>
          <t>без билетов</t>
        </is>
      </c>
    </row>
    <row r="34" ht="15" customHeight="1" s="11">
      <c r="A34" s="24" t="inlineStr">
        <is>
          <t>Бронирование</t>
        </is>
      </c>
      <c r="B34" s="24" t="inlineStr">
        <is>
          <t>нужно бронировать</t>
        </is>
      </c>
    </row>
    <row r="35" ht="15" customHeight="1" s="11">
      <c r="A35" s="24" t="inlineStr">
        <is>
          <t>Бронирование</t>
        </is>
      </c>
      <c r="B35" s="24" t="inlineStr">
        <is>
          <t>продажа открывается скоро</t>
        </is>
      </c>
    </row>
    <row r="36" ht="15" customHeight="1" s="11">
      <c r="A36" s="24" t="inlineStr">
        <is>
          <t>Статус</t>
        </is>
      </c>
      <c r="B36" s="24" t="inlineStr">
        <is>
          <t>по плану</t>
        </is>
      </c>
    </row>
    <row r="37" ht="15" customHeight="1" s="11">
      <c r="A37" s="24" t="inlineStr">
        <is>
          <t>Статус</t>
        </is>
      </c>
      <c r="B37" s="24" t="inlineStr">
        <is>
          <t>перенесено</t>
        </is>
      </c>
    </row>
    <row r="38" ht="15" customHeight="1" s="11">
      <c r="A38" s="24" t="inlineStr">
        <is>
          <t>Статус</t>
        </is>
      </c>
      <c r="B38" s="24" t="inlineStr">
        <is>
          <t>отменено</t>
        </is>
      </c>
    </row>
    <row r="39" ht="15" customHeight="1" s="11">
      <c r="A39" s="24" t="inlineStr">
        <is>
          <t>Статус</t>
        </is>
      </c>
      <c r="B39" s="24" t="inlineStr">
        <is>
          <t>sold out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2026-09-23T20:44:36Z</dcterms:created>
  <dcterms:modified xsi:type="dcterms:W3CDTF">2026-09-27T17:20:31Z</dcterms:modified>
  <cp:revision>0</cp:revision>
</cp:coreProperties>
</file>