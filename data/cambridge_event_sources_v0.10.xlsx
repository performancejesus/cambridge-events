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Как пользоваться" sheetId="1" state="visible" r:id="rId1"/>
    <sheet name="Источники" sheetId="2" state="visible" r:id="rId2"/>
    <sheet name="Проверка P1" sheetId="3" state="visible" r:id="rId3"/>
    <sheet name="Контрольные события" sheetId="4" state="visible" r:id="rId4"/>
    <sheet name="Сводка" sheetId="5" state="visible" r:id="rId5"/>
    <sheet name="Схема события" sheetId="6" state="visible" r:id="rId6"/>
    <sheet name="Категории и теги" sheetId="7" state="visible" r:id="rId7"/>
    <sheet name="Проверка P2" sheetId="8" state="visible" r:id="rId8"/>
    <sheet name="Этап 6" sheetId="9" state="visible" r:id="rId9"/>
    <sheet name="Этап 6c" sheetId="10" state="visible" r:id="rId10"/>
    <sheet name="Монетизация" sheetId="11" state="visible" r:id="rId11"/>
    <sheet name="Колледжи" sheetId="12" state="visible" r:id="rId12"/>
    <sheet name="Не разобрано" sheetId="13" state="visible" r:id="rId13"/>
  </sheets>
  <definedNames>
    <definedName name="_xlnm._FilterDatabase" localSheetId="1" hidden="1">'Источники'!$A$1:$O$98</definedName>
    <definedName name="_xlnm._FilterDatabase" localSheetId="2" hidden="1">'Проверка P1'!$A$1:$G$47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b val="1"/>
      <color rgb="FFFFFFFF"/>
    </font>
    <font>
      <i val="1"/>
    </font>
    <font>
      <b val="1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 wrapText="1"/>
    </xf>
    <xf numFmtId="0" fontId="5" fillId="0" borderId="0" applyAlignment="1" pivotButton="0" quotePrefix="0" xfId="0">
      <alignment horizontal="general" vertical="bottom" wrapText="1"/>
    </xf>
    <xf numFmtId="0" fontId="6" fillId="2" borderId="0" applyAlignment="1" pivotButton="0" quotePrefix="0" xfId="0">
      <alignment horizontal="general" vertical="center" wrapText="1"/>
    </xf>
    <xf numFmtId="0" fontId="8" fillId="4" borderId="0" applyAlignment="1" pivotButton="0" quotePrefix="0" xfId="0">
      <alignment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0" fillId="6" borderId="0" pivotButton="0" quotePrefix="0" xfId="0"/>
    <xf numFmtId="0" fontId="8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9" fillId="0" borderId="0" pivotButton="0" quotePrefix="0" xfId="0"/>
    <xf numFmtId="0" fontId="7" fillId="7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0" fillId="5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general" vertical="bottom"/>
    </xf>
    <xf numFmtId="0" fontId="1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0" min="1" max="1"/>
  </cols>
  <sheetData>
    <row r="1" ht="15" customHeight="1" s="11">
      <c r="A1" s="12" t="inlineStr">
        <is>
          <t>Реестр источников событий — Кембридж и окрестности (v0.4, сентябрь 2026)</t>
        </is>
      </c>
    </row>
    <row r="2" ht="15" customHeight="1" s="11">
      <c r="A2" s="13" t="n"/>
    </row>
    <row r="3" ht="15" customHeight="1" s="11">
      <c r="A3" s="13" t="inlineStr">
        <is>
          <t>Источники — основная таблица. Одна строка = один источник. Фильтры в заголовке.</t>
        </is>
      </c>
    </row>
    <row r="4" ht="15" customHeight="1" s="11">
      <c r="A4" s="13" t="inlineStr">
        <is>
          <t>Жёлтым выделено: URL не проверен или не указан — нужно найти/подтвердить перед написанием парсера.</t>
        </is>
      </c>
    </row>
    <row r="5" ht="26.85" customHeight="1" s="11">
      <c r="A5" s="13" t="inlineStr">
        <is>
          <t>«URL проверен = да» — адрес подтверждён поиском; «проверить» — источник известен, но адрес и формат нужно сверить.</t>
        </is>
      </c>
    </row>
    <row r="6" ht="15" customHeight="1" s="11">
      <c r="A6" s="13" t="inlineStr">
        <is>
          <t>Приоритет: 1 — брать в MVP, 2 — вторая волна, 3 — когда будет время.</t>
        </is>
      </c>
    </row>
    <row r="7" ht="26.85" customHeight="1" s="11">
      <c r="A7" s="13" t="inlineStr">
        <is>
          <t>Способ сбора: RSS / iCal / API — дешёвый и надёжный; HTML — парсинг; Ручной — ежегодные события, проще завести руками.</t>
        </is>
      </c>
    </row>
    <row r="8" ht="15" customHeight="1" s="11">
      <c r="A8" s="13" t="inlineStr">
        <is>
          <t>Сводка — счётчики по категориям (формулы, пересчитываются сами).</t>
        </is>
      </c>
    </row>
    <row r="9" ht="15" customHeight="1" s="11">
      <c r="A9" s="13" t="inlineStr">
        <is>
          <t>Схема события — поля, которые парсер должен заполнять для каждого события.</t>
        </is>
      </c>
    </row>
    <row r="10" ht="15" customHeight="1" s="11">
      <c r="A10" s="13" t="inlineStr">
        <is>
          <t>Категории и теги — справочник значений для полей category и тегов.</t>
        </is>
      </c>
    </row>
    <row r="11" ht="15" customHeight="1" s="11">
      <c r="A11" s="13" t="n"/>
    </row>
    <row r="12" ht="15" customHeight="1" s="11">
      <c r="A12" s="13" t="inlineStr">
        <is>
          <t>Пример строки: S047 Talks.cam — готовые iCal/RSS/XML-фиды с датой, местом и организатором; приоритет 1.</t>
        </is>
      </c>
    </row>
    <row r="13">
      <c r="A13" s="10" t="inlineStr">
        <is>
          <t>v0.4 (2026-09-27): проверены источники приоритета 1 — см. лист «Проверка P1»; новые столбцы «Endpoint для сбора», «robots.txt», «Проверено». «URL проверен = нет» — URL не отвечает (красный).</t>
        </is>
      </c>
    </row>
    <row r="14">
      <c r="A14" s="10" t="inlineStr">
        <is>
          <t>v0.4, правки после этапа 1: Eventbrite (S008) поднят до приоритета 1; добавлены S090 DesignMyNight и S091 Cambridge Live Tickets; лист «Контрольные события» (источник — data/control_events.json).</t>
        </is>
      </c>
    </row>
    <row r="15">
      <c r="A15" s="29" t="inlineStr">
        <is>
          <t>v0.5 (2026-09-28): этап 5 — проверены источники приоритета 2 и новые источники зоны (S098–S129), см. лист «Проверка P2» и столбец «Заметки»; зелёный — подключён, жёлтый — отложен / нужно решение, красный — закрыт.</t>
        </is>
      </c>
    </row>
    <row r="16">
      <c r="A16" s="29" t="inlineStr">
        <is>
          <t>v0.6 (2026-09-28): этап 6 — HTML-источники P1, семейные источники и новая категория «Семейные места и аттракционы» (P2), поля/церкви/ярмарки, отложенные P2, P3; см. лист «Этап 6».</t>
        </is>
      </c>
    </row>
    <row r="17">
      <c r="A17" s="29" t="inlineStr">
        <is>
          <t>v0.7 (2026-09-29): этап 6c — коллекторы из решений после 6b, зрительский спорт, кино, колледжи; правило robots.txt 4xx (RFC 9309); листы «Этап 6c» и «Не разобрано» (перепроверка раз в неделю).</t>
        </is>
      </c>
    </row>
    <row r="18">
      <c r="A18" s="29" t="inlineStr">
        <is>
          <t>v0.8 (2026-09-29): этап 6d — колонка «Партнёрская программа» и лист «Монетизация» (только оценка, ни в какие программы не регистрировались); S167 — календарь релизов UK для рубрики «В кино».</t>
        </is>
      </c>
    </row>
    <row r="19">
      <c r="A19" s="29" t="inlineStr">
        <is>
          <t>v0.9 (2026-09-30): этап 7b — Cambridge Union, NGS, Light Cinema подключены; Camdram — все площадки; страницы событий 7 колледжей (S169–S175) и Trinity (S166); лист «Колледжи» — аудит всех 31.</t>
        </is>
      </c>
    </row>
    <row r="20">
      <c r="A20" s="29" t="inlineStr">
        <is>
          <t>v0.10 (2026-09-30): этап 7c — Cambridge Union: Varsity (S176) и termcard на Issuu (S177); ссылки S123 и S144 исправлены по проверкам выпуска.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17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7" customWidth="1" style="10" min="1" max="1"/>
    <col width="24" customWidth="1" style="10" min="2" max="2"/>
    <col width="38" customWidth="1" style="10" min="3" max="3"/>
    <col width="20" customWidth="1" style="10" min="4" max="4"/>
    <col width="42" customWidth="1" style="10" min="5" max="5"/>
    <col width="44" customWidth="1" style="10" min="6" max="6"/>
    <col width="14" customWidth="1" style="10" min="7" max="7"/>
    <col width="30" customWidth="1" style="10" min="8" max="8"/>
    <col width="16" customWidth="1" style="10" min="9" max="9"/>
    <col width="10" customWidth="1" style="10" min="10" max="10"/>
    <col width="12" customWidth="1" style="10" min="11" max="11"/>
    <col width="50" customWidth="1" style="10" min="12" max="12"/>
    <col width="50" customWidth="1" style="11" min="13" max="13"/>
    <col width="12" customWidth="1" style="11" min="14" max="14"/>
    <col width="12" customWidth="1" style="11" min="15" max="15"/>
    <col width="70" customWidth="1" style="11" min="16" max="16"/>
  </cols>
  <sheetData>
    <row r="1" ht="39.55" customHeight="1" s="11">
      <c r="A1" s="14" t="inlineStr">
        <is>
          <t>ID</t>
        </is>
      </c>
      <c r="B1" s="14" t="inlineStr">
        <is>
          <t>Категория</t>
        </is>
      </c>
      <c r="C1" s="14" t="inlineStr">
        <is>
          <t>Источник</t>
        </is>
      </c>
      <c r="D1" s="14" t="inlineStr">
        <is>
          <t>Тип источника</t>
        </is>
      </c>
      <c r="E1" s="14" t="inlineStr">
        <is>
          <t>URL</t>
        </is>
      </c>
      <c r="F1" s="14" t="inlineStr">
        <is>
          <t>Что покрывает</t>
        </is>
      </c>
      <c r="G1" s="14" t="inlineStr">
        <is>
          <t>Зона</t>
        </is>
      </c>
      <c r="H1" s="14" t="inlineStr">
        <is>
          <t>Способ сбора</t>
        </is>
      </c>
      <c r="I1" s="14" t="inlineStr">
        <is>
          <t>Частота</t>
        </is>
      </c>
      <c r="J1" s="14" t="inlineStr">
        <is>
          <t>Приоритет</t>
        </is>
      </c>
      <c r="K1" s="14" t="inlineStr">
        <is>
          <t>URL проверен</t>
        </is>
      </c>
      <c r="L1" s="14" t="inlineStr">
        <is>
          <t>Заметки</t>
        </is>
      </c>
      <c r="M1" s="15" t="inlineStr">
        <is>
          <t>Endpoint для сбора</t>
        </is>
      </c>
      <c r="N1" s="15" t="inlineStr">
        <is>
          <t>robots.txt</t>
        </is>
      </c>
      <c r="O1" s="15" t="inlineStr">
        <is>
          <t>Проверено</t>
        </is>
      </c>
      <c r="P1" s="20" t="inlineStr">
        <is>
          <t>Партнёрская программа</t>
        </is>
      </c>
    </row>
    <row r="2" ht="23.85" customHeight="1" s="11">
      <c r="A2" s="30" t="inlineStr">
        <is>
          <t>S001</t>
        </is>
      </c>
      <c r="B2" s="16" t="inlineStr">
        <is>
          <t>Сквозные агрегаторы</t>
        </is>
      </c>
      <c r="C2" s="16" t="inlineStr">
        <is>
          <t>Visit Cambridge — events</t>
        </is>
      </c>
      <c r="D2" s="16" t="inlineStr">
        <is>
          <t>Агрегатор</t>
        </is>
      </c>
      <c r="E2" s="16" t="inlineStr">
        <is>
          <t>https://www.visitcambridge.org</t>
        </is>
      </c>
      <c r="F2" s="16" t="inlineStr">
        <is>
          <t>Официальный туристический календарь, все категории</t>
        </is>
      </c>
      <c r="G2" s="16" t="inlineStr">
        <is>
          <t>Центр</t>
        </is>
      </c>
      <c r="H2" s="16" t="inlineStr">
        <is>
          <t>API + HTML</t>
        </is>
      </c>
      <c r="I2" s="16" t="inlineStr">
        <is>
          <t>Ежедневно</t>
        </is>
      </c>
      <c r="J2" s="16" t="n">
        <v>1</v>
      </c>
      <c r="K2" s="16" t="inlineStr">
        <is>
          <t>да</t>
        </is>
      </c>
      <c r="L2" s="16" t="inlineStr">
        <is>
          <t>Хорошая опорная база, но туристический уклон. v0.4: внутренний API vc-map отдаёт события с адресом и postcode, но без дат — даты брать со страниц /event/… Этап 6: подключён — 7 разделов /event-categories/ (постранично) + страницы событий; раздел family-friendly → категория family</t>
        </is>
      </c>
      <c r="M2" s="10" t="inlineStr">
        <is>
          <t>https://www.visitcambridge.org/wp-json/vc-map/v1/events</t>
        </is>
      </c>
      <c r="N2" s="10" t="inlineStr">
        <is>
          <t>разрешено</t>
        </is>
      </c>
      <c r="O2" s="10" t="inlineStr">
        <is>
          <t>2026-09-28</t>
        </is>
      </c>
      <c r="P2" s="10" t="inlineStr">
        <is>
          <t>события ведут к: продавец не определён — 17 соб.; Ticket Tailor — 6 соб.: программы нет; DigiTickets — 3 соб.: программа есть</t>
        </is>
      </c>
    </row>
    <row r="3" ht="23.85" customHeight="1" s="11">
      <c r="A3" s="16" t="inlineStr">
        <is>
          <t>S002</t>
        </is>
      </c>
      <c r="B3" s="16" t="inlineStr">
        <is>
          <t>Сквозные агрегаторы</t>
        </is>
      </c>
      <c r="C3" s="16" t="inlineStr">
        <is>
          <t>What's On In Cambridge</t>
        </is>
      </c>
      <c r="D3" s="16" t="inlineStr">
        <is>
          <t>Агрегатор</t>
        </is>
      </c>
      <c r="E3" s="16" t="inlineStr">
        <is>
          <t>https://www.whatsonincambridge.com/__superjs/challenge?u=%2Fevents%2F</t>
        </is>
      </c>
      <c r="F3" s="16" t="inlineStr">
        <is>
          <t>Календарь событий, все категории</t>
        </is>
      </c>
      <c r="G3" s="16" t="inlineStr">
        <is>
          <t>Центр</t>
        </is>
      </c>
      <c r="H3" s="16" t="inlineStr">
        <is>
          <t>RSS</t>
        </is>
      </c>
      <c r="I3" s="16" t="inlineStr">
        <is>
          <t>Ежедневно</t>
        </is>
      </c>
      <c r="J3" s="16" t="n">
        <v>1</v>
      </c>
      <c r="K3" s="16" t="inlineStr">
        <is>
          <t>да</t>
        </is>
      </c>
      <c r="L3" s="16" t="inlineStr">
        <is>
          <t>Сами предупреждают, что обновляют не каждый день — использовать как подсказку, сверять с первоисточником. v0.4: RSS жив (10 записей); страница /events/ за JS-проверкой</t>
        </is>
      </c>
      <c r="M3" s="10" t="inlineStr">
        <is>
          <t>https://www.whatsonincambridge.com/feed/</t>
        </is>
      </c>
      <c r="N3" s="10" t="inlineStr">
        <is>
          <t>разрешено</t>
        </is>
      </c>
      <c r="O3" s="10" t="inlineStr">
        <is>
          <t>2026-09-27</t>
        </is>
      </c>
      <c r="P3" s="10" t="inlineStr"/>
    </row>
    <row r="4" ht="15" customHeight="1" s="11">
      <c r="A4" s="16" t="inlineStr">
        <is>
          <t>S003</t>
        </is>
      </c>
      <c r="B4" s="16" t="inlineStr">
        <is>
          <t>Сквозные агрегаторы</t>
        </is>
      </c>
      <c r="C4" s="16" t="inlineStr">
        <is>
          <t>Cambridge Independent — What's On</t>
        </is>
      </c>
      <c r="D4" s="16" t="inlineStr">
        <is>
          <t>СМИ</t>
        </is>
      </c>
      <c r="E4" s="16" t="inlineStr">
        <is>
          <t>https://www.cambridgeindependent.co.uk/whats-on/</t>
        </is>
      </c>
      <c r="F4" s="16" t="inlineStr">
        <is>
          <t>Анонсы концертов, театра, кино, семейного</t>
        </is>
      </c>
      <c r="G4" s="16" t="inlineStr">
        <is>
          <t>Центр + 30 мин</t>
        </is>
      </c>
      <c r="H4" s="16" t="inlineStr">
        <is>
          <t>RSS</t>
        </is>
      </c>
      <c r="I4" s="16" t="inlineStr">
        <is>
          <t>Ежедневно</t>
        </is>
      </c>
      <c r="J4" s="16" t="n">
        <v>1</v>
      </c>
      <c r="K4" s="16" t="inlineStr">
        <is>
          <t>да</t>
        </is>
      </c>
      <c r="L4" s="16" t="inlineStr">
        <is>
          <t>Также спортивный раздел — календари United</t>
        </is>
      </c>
      <c r="M4" s="10" t="inlineStr">
        <is>
          <t>https://www.cambridgeindependent.co.uk/_api/rss/cambridge_independent_whatson_feed.xml</t>
        </is>
      </c>
      <c r="N4" s="10" t="inlineStr">
        <is>
          <t>разрешено</t>
        </is>
      </c>
      <c r="O4" s="10" t="inlineStr">
        <is>
          <t>2026-09-27</t>
        </is>
      </c>
      <c r="P4" s="10" t="inlineStr">
        <is>
          <t>события ведут к: продавец не определён — 5 соб.; Cambridge Live (касса Corn Exchange и Guildhall) — 2 соб.: программы нет; WeGotTickets — 2 соб.: программа есть</t>
        </is>
      </c>
    </row>
    <row r="5" ht="15" customHeight="1" s="11">
      <c r="A5" s="16" t="inlineStr">
        <is>
          <t>S004</t>
        </is>
      </c>
      <c r="B5" s="16" t="inlineStr">
        <is>
          <t>Сквозные агрегаторы</t>
        </is>
      </c>
      <c r="C5" s="16" t="inlineStr">
        <is>
          <t>Cambridge News / CambridgeshireLive</t>
        </is>
      </c>
      <c r="D5" s="16" t="inlineStr">
        <is>
          <t>СМИ</t>
        </is>
      </c>
      <c r="E5" s="16" t="inlineStr">
        <is>
          <t>https://www.cambridge-news.co.uk</t>
        </is>
      </c>
      <c r="F5" s="16" t="inlineStr">
        <is>
          <t>Новости, анонсы, отмены, перекрытия</t>
        </is>
      </c>
      <c r="G5" s="16" t="inlineStr">
        <is>
          <t>Центр + час</t>
        </is>
      </c>
      <c r="H5" s="16" t="inlineStr">
        <is>
          <t>RSS</t>
        </is>
      </c>
      <c r="I5" s="16" t="inlineStr">
        <is>
          <t>2–3 раза в день</t>
        </is>
      </c>
      <c r="J5" s="16" t="n">
        <v>1</v>
      </c>
      <c r="K5" s="16" t="inlineStr">
        <is>
          <t>да</t>
        </is>
      </c>
      <c r="L5" s="16" t="inlineStr">
        <is>
          <t>Ключевой источник для контура отмен. v0.4: раздел What's On: /whats-on/?service=rss; общий фид новостей /?service=rss — для контура отмен</t>
        </is>
      </c>
      <c r="M5" s="10" t="inlineStr">
        <is>
          <t>https://www.cambridge-news.co.uk/whats-on/?service=rss</t>
        </is>
      </c>
      <c r="N5" s="10" t="inlineStr">
        <is>
          <t>разрешено</t>
        </is>
      </c>
      <c r="O5" s="10" t="inlineStr">
        <is>
          <t>2026-09-27</t>
        </is>
      </c>
      <c r="P5" s="10" t="inlineStr">
        <is>
          <t>события ведут к: продавец не определён — 2 соб.</t>
        </is>
      </c>
    </row>
    <row r="6" ht="23.85" customHeight="1" s="11">
      <c r="A6" s="16" t="inlineStr">
        <is>
          <t>S005</t>
        </is>
      </c>
      <c r="B6" s="16" t="inlineStr">
        <is>
          <t>Сквозные агрегаторы</t>
        </is>
      </c>
      <c r="C6" s="16" t="inlineStr">
        <is>
          <t>Cambridge 105 — события</t>
        </is>
      </c>
      <c r="D6" s="16" t="inlineStr">
        <is>
          <t>СМИ / календарь</t>
        </is>
      </c>
      <c r="E6" s="16" t="inlineStr">
        <is>
          <t>https://cambridge105.co.uk</t>
        </is>
      </c>
      <c r="F6" s="16" t="inlineStr">
        <is>
          <t>Общественное радио, календарь местных событий</t>
        </is>
      </c>
      <c r="G6" s="16" t="inlineStr">
        <is>
          <t>Центр</t>
        </is>
      </c>
      <c r="H6" s="16" t="inlineStr">
        <is>
          <t>iCal</t>
        </is>
      </c>
      <c r="I6" s="16" t="inlineStr">
        <is>
          <t>Ежедневно</t>
        </is>
      </c>
      <c r="J6" s="16" t="n">
        <v>1</v>
      </c>
      <c r="K6" s="16" t="inlineStr">
        <is>
          <t>да</t>
        </is>
      </c>
      <c r="L6" s="16" t="inlineStr">
        <is>
          <t>Поймал Thriplow Daffodil Weekend — сильный источник по деревенскому long tail. v0.4: iCal The Events Calendar (22 события) + REST /wp-json/tribe/events/v1/events</t>
        </is>
      </c>
      <c r="M6" s="10" t="inlineStr">
        <is>
          <t>https://cambridge105.co.uk/whatson/?ical=1</t>
        </is>
      </c>
      <c r="N6" s="10" t="inlineStr">
        <is>
          <t>разрешено</t>
        </is>
      </c>
      <c r="O6" s="10" t="inlineStr">
        <is>
          <t>2026-09-27</t>
        </is>
      </c>
      <c r="P6" s="10" t="inlineStr">
        <is>
          <t>события ведут к: продавец не определён — 10 соб.; Spektrix (касса площадки) — 1 соб.: программы нет; Cambridge Live (касса Corn Exchange и Guildhall) — 1 соб.: программы нет</t>
        </is>
      </c>
    </row>
    <row r="7" ht="15" customHeight="1" s="11">
      <c r="A7" s="16" t="inlineStr">
        <is>
          <t>S006</t>
        </is>
      </c>
      <c r="B7" s="16" t="inlineStr">
        <is>
          <t>Сквозные агрегаторы</t>
        </is>
      </c>
      <c r="C7" s="16" t="inlineStr">
        <is>
          <t>Ents24 — Cambridge</t>
        </is>
      </c>
      <c r="D7" s="16" t="inlineStr">
        <is>
          <t>Агрегатор</t>
        </is>
      </c>
      <c r="E7" s="16" t="inlineStr">
        <is>
          <t>https://www.ents24.com/whatson/cambridge</t>
        </is>
      </c>
      <c r="F7" s="16" t="inlineStr">
        <is>
          <t>Концерты, комедия, театр по всем площадкам</t>
        </is>
      </c>
      <c r="G7" s="16" t="inlineStr">
        <is>
          <t>Центр + 30 мин</t>
        </is>
      </c>
      <c r="H7" s="16" t="inlineStr">
        <is>
          <t>JSON-LD</t>
        </is>
      </c>
      <c r="I7" s="16" t="inlineStr">
        <is>
          <t>Ежедневно</t>
        </is>
      </c>
      <c r="J7" s="16" t="n">
        <v>1</v>
      </c>
      <c r="K7" s="16" t="inlineStr">
        <is>
          <t>да</t>
        </is>
      </c>
      <c r="L7" s="16" t="inlineStr">
        <is>
          <t>Удобно ловить объявления новых шоу. v0.4: JSON-LD на первой странице списка (~37 событий), продолжение подгружается JS; через Ents24 ловим и Arts Theatre (S041)</t>
        </is>
      </c>
      <c r="M7" s="10" t="inlineStr">
        <is>
          <t>https://www.ents24.com/whatson/cambridge</t>
        </is>
      </c>
      <c r="N7" s="10" t="inlineStr">
        <is>
          <t>разрешено</t>
        </is>
      </c>
      <c r="O7" s="10" t="inlineStr">
        <is>
          <t>2026-09-27</t>
        </is>
      </c>
      <c r="P7" s="10" t="inlineStr">
        <is>
          <t>события ведут к: Cambridge Live (касса Corn Exchange и Guildhall) — 1 соб.: программы нет</t>
        </is>
      </c>
    </row>
    <row r="8" ht="15" customHeight="1" s="11">
      <c r="A8" s="16" t="inlineStr">
        <is>
          <t>S007</t>
        </is>
      </c>
      <c r="B8" s="16" t="inlineStr">
        <is>
          <t>Сквозные агрегаторы</t>
        </is>
      </c>
      <c r="C8" s="16" t="inlineStr">
        <is>
          <t>Skiddle — Cambridge</t>
        </is>
      </c>
      <c r="D8" s="16" t="inlineStr">
        <is>
          <t>Агрегатор / билеты</t>
        </is>
      </c>
      <c r="E8" s="16" t="inlineStr">
        <is>
          <t>https://www.skiddle.com/whats-on/Cambridge/</t>
        </is>
      </c>
      <c r="F8" s="16" t="inlineStr">
        <is>
          <t>Клубы, гиги, фестивали</t>
        </is>
      </c>
      <c r="G8" s="16" t="inlineStr">
        <is>
          <t>Центр</t>
        </is>
      </c>
      <c r="H8" s="16" t="inlineStr">
        <is>
          <t>JSON-LD</t>
        </is>
      </c>
      <c r="I8" s="16" t="inlineStr">
        <is>
          <t>Ежедневно</t>
        </is>
      </c>
      <c r="J8" s="16" t="n">
        <v>1</v>
      </c>
      <c r="K8" s="16" t="inlineStr">
        <is>
          <t>да</t>
        </is>
      </c>
      <c r="L8" s="16" t="inlineStr">
        <is>
          <t>Есть API и партнёрка — сразу и данные, и монетизация. v0.4: ~49 событий JSON-LD на первой странице списка; продолжение подгружается JS; API и ключ не нужны (решение после этапа 1)</t>
        </is>
      </c>
      <c r="M8" s="10" t="inlineStr">
        <is>
          <t>https://www.skiddle.com/whats-on/Cambridge/</t>
        </is>
      </c>
      <c r="N8" s="10" t="inlineStr">
        <is>
          <t>разрешено</t>
        </is>
      </c>
      <c r="O8" s="10" t="inlineStr">
        <is>
          <t>2026-09-27</t>
        </is>
      </c>
      <c r="P8" s="10" t="inlineStr">
        <is>
          <t>Skiddle: есть — Skiddle Ticket Affiliate Programme (своя)</t>
        </is>
      </c>
    </row>
    <row r="9" ht="23.85" customHeight="1" s="11">
      <c r="A9" s="16" t="inlineStr">
        <is>
          <t>S008</t>
        </is>
      </c>
      <c r="B9" s="16" t="inlineStr">
        <is>
          <t>Сквозные агрегаторы</t>
        </is>
      </c>
      <c r="C9" s="16" t="inlineStr">
        <is>
          <t>Eventbrite — Cambridge</t>
        </is>
      </c>
      <c r="D9" s="16" t="inlineStr">
        <is>
          <t>Агрегатор / билеты</t>
        </is>
      </c>
      <c r="E9" s="16" t="inlineStr">
        <is>
          <t>https://www.eventbrite.co.uk/d/united-kingdom--cambridge/all-events/</t>
        </is>
      </c>
      <c r="F9" s="16" t="inlineStr">
        <is>
          <t>Воркшопы, лекции, нетворкинг, благотворительность</t>
        </is>
      </c>
      <c r="G9" s="16" t="inlineStr">
        <is>
          <t>Центр + 30 мин</t>
        </is>
      </c>
      <c r="H9" s="16" t="inlineStr">
        <is>
          <t>JSON-LD</t>
        </is>
      </c>
      <c r="I9" s="16" t="inlineStr">
        <is>
          <t>Ежедневно</t>
        </is>
      </c>
      <c r="J9" s="16" t="n">
        <v>1</v>
      </c>
      <c r="K9" s="16" t="inlineStr">
        <is>
          <t>да</t>
        </is>
      </c>
      <c r="L9" s="16" t="inlineStr">
        <is>
          <t>Много шума — нужен жёсткий фильтр. v0.4: поднят до P1 в v0.4; 20 событий JSON-LD на страницу, с postcode и координатами; фильтр — почтовые области CB, PE, SG, CM, IP, онлайн отбрасываем</t>
        </is>
      </c>
      <c r="M9" s="10" t="inlineStr">
        <is>
          <t>https://www.eventbrite.co.uk/d/united-kingdom--cambridge/all-events/?page=N</t>
        </is>
      </c>
      <c r="N9" s="10" t="inlineStr">
        <is>
          <t>разрешено</t>
        </is>
      </c>
      <c r="O9" s="10" t="inlineStr">
        <is>
          <t>2026-09-27</t>
        </is>
      </c>
      <c r="P9" s="10" t="inlineStr">
        <is>
          <t>Eventbrite: есть — Eventbrite Affiliate Program (в условиях не указана (обзоры: impact.com))</t>
        </is>
      </c>
    </row>
    <row r="10" ht="23.85" customHeight="1" s="11">
      <c r="A10" s="16" t="inlineStr">
        <is>
          <t>S009</t>
        </is>
      </c>
      <c r="B10" s="16" t="inlineStr">
        <is>
          <t>Сквозные агрегаторы</t>
        </is>
      </c>
      <c r="C10" s="16" t="inlineStr">
        <is>
          <t>Songkick — площадки Кембриджа</t>
        </is>
      </c>
      <c r="D10" s="16" t="inlineStr">
        <is>
          <t>Агрегатор</t>
        </is>
      </c>
      <c r="E10" s="16" t="inlineStr">
        <is>
          <t>https://www.songkick.com</t>
        </is>
      </c>
      <c r="F10" s="16" t="inlineStr">
        <is>
          <t>Концерты по площадкам</t>
        </is>
      </c>
      <c r="G10" s="16" t="inlineStr">
        <is>
          <t>Центр</t>
        </is>
      </c>
      <c r="H10" s="16" t="inlineStr">
        <is>
          <t>HTML (API для новых партнёров ограничен — проверить)</t>
        </is>
      </c>
      <c r="I10" s="16" t="inlineStr">
        <is>
          <t>Еженедельно</t>
        </is>
      </c>
      <c r="J10" s="16" t="n">
        <v>3</v>
      </c>
      <c r="K10" s="16" t="inlineStr">
        <is>
          <t>да</t>
        </is>
      </c>
      <c r="L10" s="16" t="inlineStr">
        <is>
          <t>Этап 6: не нужен — Songkick: страница города — 404, API для новых партнёров закрыт; концерты покрыты Ents24/Skiddle (S006, S007)</t>
        </is>
      </c>
      <c r="O10" s="10" t="inlineStr">
        <is>
          <t>2026-09-28</t>
        </is>
      </c>
      <c r="P10" s="10" t="inlineStr"/>
    </row>
    <row r="11" ht="15" customHeight="1" s="11">
      <c r="A11" s="30" t="inlineStr">
        <is>
          <t>S010</t>
        </is>
      </c>
      <c r="B11" s="16" t="inlineStr">
        <is>
          <t>Сквозные агрегаторы</t>
        </is>
      </c>
      <c r="C11" s="16" t="inlineStr">
        <is>
          <t>Peterborough Telegraph</t>
        </is>
      </c>
      <c r="D11" s="16" t="inlineStr">
        <is>
          <t>СМИ</t>
        </is>
      </c>
      <c r="E11" s="16" t="inlineStr">
        <is>
          <t>https://www.peterboroughtoday.co.uk</t>
        </is>
      </c>
      <c r="F11" s="16" t="inlineStr">
        <is>
          <t>Север графства: Уиттлси, Питерборо, фены</t>
        </is>
      </c>
      <c r="G11" s="16" t="inlineStr">
        <is>
          <t>Час</t>
        </is>
      </c>
      <c r="H11" s="16" t="inlineStr">
        <is>
          <t>RSS (уточнить)</t>
        </is>
      </c>
      <c r="I11" s="16" t="inlineStr">
        <is>
          <t>Ежедневно</t>
        </is>
      </c>
      <c r="J11" s="16" t="n">
        <v>2</v>
      </c>
      <c r="K11" s="16" t="inlineStr">
        <is>
          <t>да</t>
        </is>
      </c>
      <c r="L11" s="16" t="inlineStr">
        <is>
          <t>Этап 5: подключён — RSS (HTML сайта — 403); статьи → извлечение через Claude</t>
        </is>
      </c>
      <c r="M11" s="10" t="inlineStr">
        <is>
          <t>https://www.peterboroughtoday.co.uk/rss</t>
        </is>
      </c>
      <c r="N11" s="10" t="inlineStr">
        <is>
          <t>разрешено</t>
        </is>
      </c>
      <c r="O11" s="10" t="inlineStr">
        <is>
          <t>2026-09-28</t>
        </is>
      </c>
      <c r="P11" s="10" t="inlineStr"/>
    </row>
    <row r="12" ht="23.85" customHeight="1" s="11">
      <c r="A12" s="16" t="inlineStr">
        <is>
          <t>S011</t>
        </is>
      </c>
      <c r="B12" s="16" t="inlineStr">
        <is>
          <t>Концерты</t>
        </is>
      </c>
      <c r="C12" s="16" t="inlineStr">
        <is>
          <t>Cambridge Corn Exchange</t>
        </is>
      </c>
      <c r="D12" s="16" t="inlineStr">
        <is>
          <t>Площадка</t>
        </is>
      </c>
      <c r="E12" s="16" t="inlineStr">
        <is>
          <t>https://www.cornex.co.uk/events</t>
        </is>
      </c>
      <c r="F12" s="16" t="inlineStr">
        <is>
          <t>Крупные концерты, комедия, балет, городские события</t>
        </is>
      </c>
      <c r="G12" s="16" t="inlineStr">
        <is>
          <t>Центр</t>
        </is>
      </c>
      <c r="H12" s="16" t="inlineStr">
        <is>
          <t>HTML + JSON-LD</t>
        </is>
      </c>
      <c r="I12" s="16" t="inlineStr">
        <is>
          <t>Ежедневно</t>
        </is>
      </c>
      <c r="J12" s="16" t="n">
        <v>1</v>
      </c>
      <c r="K12" s="16" t="inlineStr">
        <is>
          <t>да</t>
        </is>
      </c>
      <c r="L12" s="16" t="inlineStr">
        <is>
          <t>Сайт Cambridge Live — там же городские события (фейерверки и др.). v0.4: сайт Corn Exchange — cornex.co.uk; список в HTML, на странице события JSON-LD Event с адресом и postcode; cambridgelive.org.uk → билетный сайт</t>
        </is>
      </c>
      <c r="M12" s="10" t="inlineStr">
        <is>
          <t>https://www.cornex.co.uk/events</t>
        </is>
      </c>
      <c r="N12" s="10" t="inlineStr">
        <is>
          <t>разрешено</t>
        </is>
      </c>
      <c r="O12" s="10" t="inlineStr">
        <is>
          <t>2026-09-27</t>
        </is>
      </c>
      <c r="P12" s="10" t="inlineStr">
        <is>
          <t>события ведут к: Cambridge Live (касса Corn Exchange и Guildhall) — 10 соб.: программы нет</t>
        </is>
      </c>
    </row>
    <row r="13" ht="15" customHeight="1" s="11">
      <c r="A13" s="30" t="inlineStr">
        <is>
          <t>S012</t>
        </is>
      </c>
      <c r="B13" s="16" t="inlineStr">
        <is>
          <t>Концерты</t>
        </is>
      </c>
      <c r="C13" s="16" t="inlineStr">
        <is>
          <t>Cambridge Junction</t>
        </is>
      </c>
      <c r="D13" s="16" t="inlineStr">
        <is>
          <t>Площадка</t>
        </is>
      </c>
      <c r="E13" s="16" t="inlineStr">
        <is>
          <t>https://www.junction.co.uk</t>
        </is>
      </c>
      <c r="F13" s="16" t="inlineStr">
        <is>
          <t>Концерты, комедия, клубные вечера, театр</t>
        </is>
      </c>
      <c r="G13" s="16" t="inlineStr">
        <is>
          <t>Центр</t>
        </is>
      </c>
      <c r="H13" s="16" t="inlineStr">
        <is>
          <t>API + HTML</t>
        </is>
      </c>
      <c r="I13" s="16" t="inlineStr">
        <is>
          <t>Ежедневно</t>
        </is>
      </c>
      <c r="J13" s="16" t="n">
        <v>1</v>
      </c>
      <c r="K13" s="16" t="inlineStr">
        <is>
          <t>да</t>
        </is>
      </c>
      <c r="L13" s="16" t="inlineStr">
        <is>
          <t>v0.4: WP REST, тип cj_events: названия и ссылки, дат нет — даты со страниц; /feed/ — это блог, не афиша Этап 6: подключён — HTML /whats-on/page/N + страницы событий («Event Information»: дата, время, цена); кэш страниц</t>
        </is>
      </c>
      <c r="M13" s="10" t="inlineStr">
        <is>
          <t>https://www.junction.co.uk/wp-json/wp/v2/cj_events</t>
        </is>
      </c>
      <c r="N13" s="10" t="inlineStr">
        <is>
          <t>разрешено</t>
        </is>
      </c>
      <c r="O13" s="10" t="inlineStr">
        <is>
          <t>2026-09-28</t>
        </is>
      </c>
      <c r="P13" s="10" t="inlineStr">
        <is>
          <t>события ведут к: Spektrix (касса площадки) — 24 соб.: программы нет; Eventbrite — 1 соб.: программа есть; Ticket Tailor — 1 соб.: программы нет</t>
        </is>
      </c>
    </row>
    <row r="14" ht="15" customHeight="1" s="11">
      <c r="A14" s="16" t="inlineStr">
        <is>
          <t>S013</t>
        </is>
      </c>
      <c r="B14" s="16" t="inlineStr">
        <is>
          <t>Концерты</t>
        </is>
      </c>
      <c r="C14" s="16" t="inlineStr">
        <is>
          <t>The Portland Arms</t>
        </is>
      </c>
      <c r="D14" s="16" t="inlineStr">
        <is>
          <t>Площадка</t>
        </is>
      </c>
      <c r="E14" s="17" t="n"/>
      <c r="F14" s="16" t="inlineStr">
        <is>
          <t>Небольшие рок/инди-концерты</t>
        </is>
      </c>
      <c r="G14" s="16" t="inlineStr">
        <is>
          <t>Центр</t>
        </is>
      </c>
      <c r="H14" s="16" t="inlineStr">
        <is>
          <t>Через Ents24/Skiddle</t>
        </is>
      </c>
      <c r="I14" s="16" t="inlineStr">
        <is>
          <t>Еженедельно</t>
        </is>
      </c>
      <c r="J14" s="16" t="n">
        <v>2</v>
      </c>
      <c r="K14" s="17" t="inlineStr">
        <is>
          <t>нет</t>
        </is>
      </c>
      <c r="L14" s="16" t="inlineStr">
        <is>
          <t>Этап 5: не нужен — robots.txt отвечает 403; концерты есть на Ents24/Skiddle (S006/S007)</t>
        </is>
      </c>
      <c r="N14" s="10" t="inlineStr">
        <is>
          <t>—</t>
        </is>
      </c>
      <c r="O14" s="10" t="inlineStr">
        <is>
          <t>2026-09-28</t>
        </is>
      </c>
      <c r="P14" s="10" t="inlineStr"/>
    </row>
    <row r="15" ht="15" customHeight="1" s="11">
      <c r="A15" s="16" t="inlineStr">
        <is>
          <t>S014</t>
        </is>
      </c>
      <c r="B15" s="16" t="inlineStr">
        <is>
          <t>Концерты</t>
        </is>
      </c>
      <c r="C15" s="16" t="inlineStr">
        <is>
          <t>Storey's Field Centre (Eddington)</t>
        </is>
      </c>
      <c r="D15" s="16" t="inlineStr">
        <is>
          <t>Площадка</t>
        </is>
      </c>
      <c r="E15" s="17" t="n"/>
      <c r="F15" s="16" t="inlineStr">
        <is>
          <t>Камерная музыка, фолк, джаз</t>
        </is>
      </c>
      <c r="G15" s="16" t="inlineStr">
        <is>
          <t>Центр</t>
        </is>
      </c>
      <c r="H15" s="16" t="inlineStr">
        <is>
          <t>HTML</t>
        </is>
      </c>
      <c r="I15" s="16" t="inlineStr">
        <is>
          <t>Еженедельно</t>
        </is>
      </c>
      <c r="J15" s="16" t="n">
        <v>2</v>
      </c>
      <c r="K15" s="17" t="inlineStr">
        <is>
          <t>да</t>
        </is>
      </c>
      <c r="L15" s="16" t="inlineStr">
        <is>
          <t>Этап 5: не нужен — фид — 3 новости; события продаются через Eventbrite (S008) и Cambridge Live Tickets (S091)</t>
        </is>
      </c>
      <c r="M15" s="10" t="inlineStr">
        <is>
          <t>https://www.storeysfieldcentre.org.uk/feed/</t>
        </is>
      </c>
      <c r="N15" s="10" t="inlineStr">
        <is>
          <t>разрешено</t>
        </is>
      </c>
      <c r="O15" s="10" t="inlineStr">
        <is>
          <t>2026-09-28</t>
        </is>
      </c>
      <c r="P15" s="10" t="inlineStr"/>
    </row>
    <row r="16" ht="15" customHeight="1" s="11">
      <c r="A16" s="16" t="inlineStr">
        <is>
          <t>S015</t>
        </is>
      </c>
      <c r="B16" s="16" t="inlineStr">
        <is>
          <t>Концерты</t>
        </is>
      </c>
      <c r="C16" s="16" t="inlineStr">
        <is>
          <t>West Road Concert Hall</t>
        </is>
      </c>
      <c r="D16" s="16" t="inlineStr">
        <is>
          <t>Площадка</t>
        </is>
      </c>
      <c r="E16" s="17" t="n"/>
      <c r="F16" s="16" t="inlineStr">
        <is>
          <t>Классика, университетские оркестры</t>
        </is>
      </c>
      <c r="G16" s="16" t="inlineStr">
        <is>
          <t>Центр</t>
        </is>
      </c>
      <c r="H16" s="16" t="inlineStr">
        <is>
          <t>HTML</t>
        </is>
      </c>
      <c r="I16" s="16" t="inlineStr">
        <is>
          <t>Еженедельно</t>
        </is>
      </c>
      <c r="J16" s="16" t="n">
        <v>2</v>
      </c>
      <c r="K16" s="17" t="inlineStr">
        <is>
          <t>да</t>
        </is>
      </c>
      <c r="L16" s="16" t="inlineStr">
        <is>
          <t>Этап 5: не нужен — HTML без JSON-LD; концерты уже приходят из S091, S005, S007, S008</t>
        </is>
      </c>
      <c r="M16" s="10" t="inlineStr">
        <is>
          <t>https://www.westroad.org</t>
        </is>
      </c>
      <c r="N16" s="10" t="inlineStr">
        <is>
          <t>разрешено</t>
        </is>
      </c>
      <c r="O16" s="10" t="inlineStr">
        <is>
          <t>2026-09-28</t>
        </is>
      </c>
      <c r="P16" s="10" t="inlineStr"/>
    </row>
    <row r="17" ht="23.85" customHeight="1" s="11">
      <c r="A17" s="16" t="inlineStr">
        <is>
          <t>S016</t>
        </is>
      </c>
      <c r="B17" s="16" t="inlineStr">
        <is>
          <t>Концерты</t>
        </is>
      </c>
      <c r="C17" s="16" t="inlineStr">
        <is>
          <t>Хоровая музыка колледжей (King's, St John's, Trinity)</t>
        </is>
      </c>
      <c r="D17" s="16" t="inlineStr">
        <is>
          <t>Площадка</t>
        </is>
      </c>
      <c r="E17" s="17" t="n"/>
      <c r="F17" s="16" t="inlineStr">
        <is>
          <t>Evensong, концерты хоров, органные вечера</t>
        </is>
      </c>
      <c r="G17" s="16" t="inlineStr">
        <is>
          <t>Центр</t>
        </is>
      </c>
      <c r="H17" s="16" t="inlineStr">
        <is>
          <t>HTML по колледжам</t>
        </is>
      </c>
      <c r="I17" s="16" t="inlineStr">
        <is>
          <t>Еженедельно</t>
        </is>
      </c>
      <c r="J17" s="16" t="n">
        <v>3</v>
      </c>
      <c r="K17" s="17" t="inlineStr">
        <is>
          <t>—</t>
        </is>
      </c>
      <c r="L17" s="16" t="inlineStr">
        <is>
          <t>Бесплатно — хороший материал для рубрики «бесплатно» Этап 6: не нужен — хоровая музыка колледжей — покрыто: King's/GSM через Ents24 и University What's On (S048), St John's/Trinity — Visit Cambridge (S001); регулярный evensong в выпуск не идёт</t>
        </is>
      </c>
      <c r="O17" s="10" t="inlineStr">
        <is>
          <t>2026-09-28</t>
        </is>
      </c>
      <c r="P17" s="10" t="inlineStr"/>
    </row>
    <row r="18" ht="15" customHeight="1" s="11">
      <c r="A18" s="30" t="inlineStr">
        <is>
          <t>S017</t>
        </is>
      </c>
      <c r="B18" s="16" t="inlineStr">
        <is>
          <t>Концерты</t>
        </is>
      </c>
      <c r="C18" s="16" t="inlineStr">
        <is>
          <t>Saffron Hall</t>
        </is>
      </c>
      <c r="D18" s="16" t="inlineStr">
        <is>
          <t>Площадка</t>
        </is>
      </c>
      <c r="E18" s="17" t="n"/>
      <c r="F18" s="16" t="inlineStr">
        <is>
          <t>Классика и крупные концерты</t>
        </is>
      </c>
      <c r="G18" s="16" t="inlineStr">
        <is>
          <t>Час</t>
        </is>
      </c>
      <c r="H18" s="16" t="inlineStr">
        <is>
          <t>HTML</t>
        </is>
      </c>
      <c r="I18" s="16" t="inlineStr">
        <is>
          <t>Еженедельно</t>
        </is>
      </c>
      <c r="J18" s="16" t="n">
        <v>2</v>
      </c>
      <c r="K18" s="17" t="inlineStr">
        <is>
          <t>да</t>
        </is>
      </c>
      <c r="L18" s="16" t="inlineStr">
        <is>
          <t>Этап 5: подключён — HTML-карточки: дата, время, наличие билетов (Nearly full → «мало билетов»), отмены</t>
        </is>
      </c>
      <c r="M18" s="10" t="inlineStr">
        <is>
          <t>https://www.saffronhall.com/</t>
        </is>
      </c>
      <c r="N18" s="10" t="inlineStr">
        <is>
          <t>разрешено</t>
        </is>
      </c>
      <c r="O18" s="10" t="inlineStr">
        <is>
          <t>2026-09-28</t>
        </is>
      </c>
      <c r="P18" s="10" t="inlineStr">
        <is>
          <t>события ведут к: Spektrix (касса площадки) — 7 соб.: программы нет</t>
        </is>
      </c>
    </row>
    <row r="19" ht="23.85" customHeight="1" s="11">
      <c r="A19" s="16" t="inlineStr">
        <is>
          <t>S018</t>
        </is>
      </c>
      <c r="B19" s="16" t="inlineStr">
        <is>
          <t>Спорт — смотреть</t>
        </is>
      </c>
      <c r="C19" s="16" t="inlineStr">
        <is>
          <t>Cambridge United</t>
        </is>
      </c>
      <c r="D19" s="16" t="inlineStr">
        <is>
          <t>Клуб</t>
        </is>
      </c>
      <c r="E19" s="16" t="inlineStr">
        <is>
          <t>https://www.cambridgeunited.com/fixture/list/57</t>
        </is>
      </c>
      <c r="F19" s="16" t="inlineStr">
        <is>
          <t>Матчи Лиги 1, кубки</t>
        </is>
      </c>
      <c r="G19" s="16" t="inlineStr">
        <is>
          <t>Центр</t>
        </is>
      </c>
      <c r="H19" s="16" t="inlineStr">
        <is>
          <t>iCal (fixtur.es) + HTML</t>
        </is>
      </c>
      <c r="I19" s="16" t="inlineStr">
        <is>
          <t>Еженедельно</t>
        </is>
      </c>
      <c r="J19" s="16" t="n">
        <v>1</v>
      </c>
      <c r="K19" s="16" t="inlineStr">
        <is>
          <t>да</t>
        </is>
      </c>
      <c r="L19" s="16" t="inlineStr">
        <is>
          <t>Календарь сезона публикуется летом целиком. v0.4: у клуба календарь только в HTML (/fixture/list/57); готовый iCal домашних матчей — сторонний fixtur.es, сверять с сайтом клуба</t>
        </is>
      </c>
      <c r="M19" s="10" t="inlineStr">
        <is>
          <t>https://ics.fixtur.es/v2/home/cambridge-united-fc.ics</t>
        </is>
      </c>
      <c r="N19" s="10" t="inlineStr">
        <is>
          <t>разрешено</t>
        </is>
      </c>
      <c r="O19" s="10" t="inlineStr">
        <is>
          <t>2026-09-27</t>
        </is>
      </c>
      <c r="P19" s="10" t="inlineStr">
        <is>
          <t>события ведут к: своя касса (cambridgeunited.com) — 2 соб.: программы нет</t>
        </is>
      </c>
    </row>
    <row r="20" ht="15" customHeight="1" s="11">
      <c r="A20" s="30" t="inlineStr">
        <is>
          <t>S019</t>
        </is>
      </c>
      <c r="B20" s="16" t="inlineStr">
        <is>
          <t>Спорт — смотреть</t>
        </is>
      </c>
      <c r="C20" s="16" t="inlineStr">
        <is>
          <t>Cambridge City FC</t>
        </is>
      </c>
      <c r="D20" s="16" t="inlineStr">
        <is>
          <t>Клуб</t>
        </is>
      </c>
      <c r="E20" s="17" t="n"/>
      <c r="F20" s="16" t="inlineStr">
        <is>
          <t>Нон-лиг футбол</t>
        </is>
      </c>
      <c r="G20" s="16" t="inlineStr">
        <is>
          <t>30 мин</t>
        </is>
      </c>
      <c r="H20" s="16" t="inlineStr">
        <is>
          <t>HTML</t>
        </is>
      </c>
      <c r="I20" s="16" t="inlineStr">
        <is>
          <t>Еженедельно</t>
        </is>
      </c>
      <c r="J20" s="16" t="n">
        <v>3</v>
      </c>
      <c r="K20" s="17" t="inlineStr">
        <is>
          <t>да</t>
        </is>
      </c>
      <c r="L20" s="16" t="inlineStr">
        <is>
          <t>Этап 6: не нужен — Cambridge City FC: 8-й уровень (Isthmian North, стадион в Sawston), матчи низкой значимости; сайт лиги без календаря в HTML, Football Web Pages — 403 Этап 6c: подключён — Cambridge City FC: домашние матчи из событий сайта клуба (Wix) → «Спорт → Также играют» Ошибочное прежнее решение: S019 (этап 6: «не нужен, матчи низкой значимости») — отменено владельцем проекта после v5.</t>
        </is>
      </c>
      <c r="O20" s="10" t="inlineStr">
        <is>
          <t>2026-09-29</t>
        </is>
      </c>
      <c r="P20" s="10" t="inlineStr">
        <is>
          <t>события ведут к: своя касса (cambridgecityfc.com) — 1 соб.: программы нет</t>
        </is>
      </c>
    </row>
    <row r="21" ht="15" customHeight="1" s="11">
      <c r="A21" s="30" t="inlineStr">
        <is>
          <t>S020</t>
        </is>
      </c>
      <c r="B21" s="16" t="inlineStr">
        <is>
          <t>Спорт — смотреть</t>
        </is>
      </c>
      <c r="C21" s="16" t="inlineStr">
        <is>
          <t>Cambridge Rugby Club</t>
        </is>
      </c>
      <c r="D21" s="16" t="inlineStr">
        <is>
          <t>Клуб</t>
        </is>
      </c>
      <c r="E21" s="17" t="n"/>
      <c r="F21" s="16" t="inlineStr">
        <is>
          <t>Регби, National League</t>
        </is>
      </c>
      <c r="G21" s="16" t="inlineStr">
        <is>
          <t>Центр</t>
        </is>
      </c>
      <c r="H21" s="16" t="inlineStr">
        <is>
          <t>HTML</t>
        </is>
      </c>
      <c r="I21" s="16" t="inlineStr">
        <is>
          <t>Еженедельно</t>
        </is>
      </c>
      <c r="J21" s="16" t="n">
        <v>2</v>
      </c>
      <c r="K21" s="17" t="inlineStr">
        <is>
          <t>нет</t>
        </is>
      </c>
      <c r="L21" s="16" t="inlineStr">
        <is>
          <t>Этап 5: закрыт — страница-проверка (HTTP 202, бот-защита); обходить не будем Этап 6c: подключён — Cambridge RUFC: сайт клуба за бот-защитой; с 2026/27 — National League 1 (выбыли из Champ Rugby), весь сезон — PDF лиги (nationalleaguerugby.com) Ошибочное прежнее решение: S020 (этап 5: «закрыт — бот-защита») — календарь нашёлся на сайте лиги.</t>
        </is>
      </c>
      <c r="N21" s="10" t="inlineStr">
        <is>
          <t>—</t>
        </is>
      </c>
      <c r="O21" s="10" t="inlineStr">
        <is>
          <t>2026-09-29</t>
        </is>
      </c>
      <c r="P21" s="10" t="inlineStr">
        <is>
          <t>события ведут к: продавец не определён — 1 соб.</t>
        </is>
      </c>
    </row>
    <row r="22" ht="15" customHeight="1" s="11">
      <c r="A22" s="16" t="inlineStr">
        <is>
          <t>S021</t>
        </is>
      </c>
      <c r="B22" s="16" t="inlineStr">
        <is>
          <t>Спорт — смотреть</t>
        </is>
      </c>
      <c r="C22" s="16" t="inlineStr">
        <is>
          <t>Newmarket Racecourses</t>
        </is>
      </c>
      <c r="D22" s="16" t="inlineStr">
        <is>
          <t>Площадка</t>
        </is>
      </c>
      <c r="E22" s="16" t="inlineStr">
        <is>
          <t>https://www.thejockeyclub.co.uk/newmarket/events-tickets/</t>
        </is>
      </c>
      <c r="F22" s="16" t="inlineStr">
        <is>
          <t>Скачки, летние концерты Newmarket Nights</t>
        </is>
      </c>
      <c r="G22" s="16" t="inlineStr">
        <is>
          <t>30 мин</t>
        </is>
      </c>
      <c r="H22" s="16" t="inlineStr">
        <is>
          <t>JSON-LD</t>
        </is>
      </c>
      <c r="I22" s="16" t="inlineStr">
        <is>
          <t>Еженедельно</t>
        </is>
      </c>
      <c r="J22" s="16" t="n">
        <v>1</v>
      </c>
      <c r="K22" s="16" t="inlineStr">
        <is>
          <t>да</t>
        </is>
      </c>
      <c r="L22" s="16" t="inlineStr">
        <is>
          <t>Сайт Jockey Club</t>
        </is>
      </c>
      <c r="M22" s="10" t="inlineStr">
        <is>
          <t>https://www.thejockeyclub.co.uk/newmarket/events-tickets/</t>
        </is>
      </c>
      <c r="N22" s="10" t="inlineStr">
        <is>
          <t>разрешено</t>
        </is>
      </c>
      <c r="O22" s="10" t="inlineStr">
        <is>
          <t>2026-09-27</t>
        </is>
      </c>
      <c r="P22" s="10" t="inlineStr">
        <is>
          <t>The Jockey Club (Newmarket, Huntingdon): есть — Jockey Club Racecourses (Awin (ID 7677))</t>
        </is>
      </c>
    </row>
    <row r="23" ht="15" customHeight="1" s="11">
      <c r="A23" s="30" t="inlineStr">
        <is>
          <t>S022</t>
        </is>
      </c>
      <c r="B23" s="16" t="inlineStr">
        <is>
          <t>Спорт — смотреть</t>
        </is>
      </c>
      <c r="C23" s="16" t="inlineStr">
        <is>
          <t>Huntingdon Racecourse</t>
        </is>
      </c>
      <c r="D23" s="16" t="inlineStr">
        <is>
          <t>Площадка</t>
        </is>
      </c>
      <c r="E23" s="17" t="n"/>
      <c r="F23" s="16" t="inlineStr">
        <is>
          <t>Скачки</t>
        </is>
      </c>
      <c r="G23" s="16" t="inlineStr">
        <is>
          <t>30 мин</t>
        </is>
      </c>
      <c r="H23" s="16" t="inlineStr">
        <is>
          <t>HTML</t>
        </is>
      </c>
      <c r="I23" s="16" t="inlineStr">
        <is>
          <t>Еженедельно</t>
        </is>
      </c>
      <c r="J23" s="16" t="n">
        <v>3</v>
      </c>
      <c r="K23" s="17" t="inlineStr">
        <is>
          <t>да</t>
        </is>
      </c>
      <c r="L23" s="16" t="inlineStr">
        <is>
          <t>Сайт Jockey Club Этап 6: подключён — Huntingdon Racecourse: JSON-LD на странице событий Jockey Club (как Newmarket S021)</t>
        </is>
      </c>
      <c r="O23" s="10" t="inlineStr">
        <is>
          <t>2026-09-28</t>
        </is>
      </c>
      <c r="P23" s="10" t="inlineStr">
        <is>
          <t>The Jockey Club (Newmarket, Huntingdon): есть — Jockey Club Racecourses (Awin (ID 7677))</t>
        </is>
      </c>
    </row>
    <row r="24" ht="23.85" customHeight="1" s="11">
      <c r="A24" s="16" t="inlineStr">
        <is>
          <t>S023</t>
        </is>
      </c>
      <c r="B24" s="16" t="inlineStr">
        <is>
          <t>Спорт — смотреть</t>
        </is>
      </c>
      <c r="C24" s="16" t="inlineStr">
        <is>
          <t>CUCBC — May Bumps / Lent Bumps</t>
        </is>
      </c>
      <c r="D24" s="16" t="inlineStr">
        <is>
          <t>Организатор</t>
        </is>
      </c>
      <c r="E24" s="17" t="n"/>
      <c r="F24" s="16" t="inlineStr">
        <is>
          <t>Университетские гонки гребных лодок: Lent Bumps (февраль–март) и May Bumps (июнь)</t>
        </is>
      </c>
      <c r="G24" s="16" t="inlineStr">
        <is>
          <t>Центр</t>
        </is>
      </c>
      <c r="H24" s="16" t="inlineStr">
        <is>
          <t>HTML</t>
        </is>
      </c>
      <c r="I24" s="16" t="inlineStr">
        <is>
          <t>Сезонно</t>
        </is>
      </c>
      <c r="J24" s="16" t="n">
        <v>2</v>
      </c>
      <c r="K24" s="17" t="inlineStr">
        <is>
          <t>да</t>
        </is>
      </c>
      <c r="L24" s="16" t="inlineStr">
        <is>
          <t>Этап 5: ежегодное — Lent/May Bumps — сезонно; RSS новостей есть; даты — через recurring_events</t>
        </is>
      </c>
      <c r="M24" s="10" t="inlineStr">
        <is>
          <t>https://www.cucbc.org/rss.xml</t>
        </is>
      </c>
      <c r="N24" s="10" t="inlineStr">
        <is>
          <t>разрешено</t>
        </is>
      </c>
      <c r="O24" s="10" t="inlineStr">
        <is>
          <t>2026-09-28</t>
        </is>
      </c>
      <c r="P24" s="10" t="inlineStr"/>
    </row>
    <row r="25" ht="23.85" customHeight="1" s="11">
      <c r="A25" s="16" t="inlineStr">
        <is>
          <t>S024</t>
        </is>
      </c>
      <c r="B25" s="16" t="inlineStr">
        <is>
          <t>Спорт — смотреть</t>
        </is>
      </c>
      <c r="C25" s="16" t="inlineStr">
        <is>
          <t>Town Bumps (Cambridgeshire Rowing Association)</t>
        </is>
      </c>
      <c r="D25" s="16" t="inlineStr">
        <is>
          <t>Организатор</t>
        </is>
      </c>
      <c r="E25" s="17" t="n"/>
      <c r="F25" s="16" t="inlineStr">
        <is>
          <t>Городские гонки гребных лодок, лето</t>
        </is>
      </c>
      <c r="G25" s="16" t="inlineStr">
        <is>
          <t>Центр</t>
        </is>
      </c>
      <c r="H25" s="16" t="inlineStr">
        <is>
          <t>HTML</t>
        </is>
      </c>
      <c r="I25" s="16" t="inlineStr">
        <is>
          <t>Сезонно</t>
        </is>
      </c>
      <c r="J25" s="16" t="n">
        <v>3</v>
      </c>
      <c r="K25" s="17" t="inlineStr">
        <is>
          <t>нет</t>
        </is>
      </c>
      <c r="L25" s="16" t="inlineStr">
        <is>
          <t>Этап 6: ежегодное — Town Bumps: сайт Cambridgeshire Rowing Association отвечает 502; летние Town Bumps — в бэклог recurring (дата вручную)</t>
        </is>
      </c>
      <c r="O25" s="10" t="inlineStr">
        <is>
          <t>2026-09-28</t>
        </is>
      </c>
      <c r="P25" s="10" t="inlineStr"/>
    </row>
    <row r="26" ht="15" customHeight="1" s="11">
      <c r="A26" s="18" t="inlineStr">
        <is>
          <t>S025</t>
        </is>
      </c>
      <c r="B26" s="16" t="inlineStr">
        <is>
          <t>Спорт — смотреть</t>
        </is>
      </c>
      <c r="C26" s="16" t="inlineStr">
        <is>
          <t>Varsity-матчи (Oxford vs Cambridge)</t>
        </is>
      </c>
      <c r="D26" s="16" t="inlineStr">
        <is>
          <t>Организатор</t>
        </is>
      </c>
      <c r="E26" s="17" t="n"/>
      <c r="F26" s="16" t="inlineStr">
        <is>
          <t>Регби, гребля и др. дерби университетов</t>
        </is>
      </c>
      <c r="G26" s="16" t="inlineStr">
        <is>
          <t>Центр + Лондон</t>
        </is>
      </c>
      <c r="H26" s="16" t="inlineStr">
        <is>
          <t>Ручной (календарь)</t>
        </is>
      </c>
      <c r="I26" s="16" t="inlineStr">
        <is>
          <t>Ежегодно</t>
        </is>
      </c>
      <c r="J26" s="16" t="n">
        <v>3</v>
      </c>
      <c r="K26" s="17" t="inlineStr">
        <is>
          <t>—</t>
        </is>
      </c>
      <c r="L26" s="16" t="inlineStr">
        <is>
          <t>Этап 6: вручную — Varsity-матчи: календарь вручную (даты публикуются университетскими клубами), крупные — через статьи</t>
        </is>
      </c>
      <c r="O26" s="10" t="inlineStr">
        <is>
          <t>2026-09-28</t>
        </is>
      </c>
      <c r="P26" s="10" t="inlineStr"/>
    </row>
    <row r="27" ht="15" customHeight="1" s="11">
      <c r="A27" s="16" t="inlineStr">
        <is>
          <t>S026</t>
        </is>
      </c>
      <c r="B27" s="16" t="inlineStr">
        <is>
          <t>Спорт — участвовать</t>
        </is>
      </c>
      <c r="C27" s="16" t="inlineStr">
        <is>
          <t>Chariots of Fire</t>
        </is>
      </c>
      <c r="D27" s="16" t="inlineStr">
        <is>
          <t>Организатор</t>
        </is>
      </c>
      <c r="E27" s="16" t="inlineStr">
        <is>
          <t>https://www.chariots-of-fire.co.uk/</t>
        </is>
      </c>
      <c r="F27" s="16" t="inlineStr">
        <is>
          <t>Благотворительная эстафета, сентябрь</t>
        </is>
      </c>
      <c r="G27" s="16" t="inlineStr">
        <is>
          <t>Центр</t>
        </is>
      </c>
      <c r="H27" s="16" t="inlineStr">
        <is>
          <t>JSON-LD (RunThrough)</t>
        </is>
      </c>
      <c r="I27" s="16" t="inlineStr">
        <is>
          <t>Ежегодно</t>
        </is>
      </c>
      <c r="J27" s="16" t="n">
        <v>1</v>
      </c>
      <c r="K27" s="16" t="inlineStr">
        <is>
          <t>да</t>
        </is>
      </c>
      <c r="L27" s="16" t="inlineStr">
        <is>
          <t>Регистрация через RunThrough. v0.4: ежегодно; JSON-LD Event на странице RunThrough; /feed/ сайта — новости Этап 6: ежегодное — через recurring_events (R11)</t>
        </is>
      </c>
      <c r="M27" s="10" t="inlineStr">
        <is>
          <t>https://www.runthrough.co.uk/event/chariots-of-fire-september-2026</t>
        </is>
      </c>
      <c r="N27" s="10" t="inlineStr">
        <is>
          <t>разрешено</t>
        </is>
      </c>
      <c r="O27" s="10" t="inlineStr">
        <is>
          <t>2026-09-28</t>
        </is>
      </c>
      <c r="P27" s="10" t="inlineStr"/>
    </row>
    <row r="28" ht="23.85" customHeight="1" s="11">
      <c r="A28" s="30" t="inlineStr">
        <is>
          <t>S027</t>
        </is>
      </c>
      <c r="B28" s="16" t="inlineStr">
        <is>
          <t>Спорт — участвовать</t>
        </is>
      </c>
      <c r="C28" s="16" t="inlineStr">
        <is>
          <t>RunThrough — события в Кембридже</t>
        </is>
      </c>
      <c r="D28" s="16" t="inlineStr">
        <is>
          <t>Организатор / регистрация</t>
        </is>
      </c>
      <c r="E28" s="16" t="inlineStr">
        <is>
          <t>https://www.runthrough.co.uk</t>
        </is>
      </c>
      <c r="F28" s="16" t="inlineStr">
        <is>
          <t>Забеги, эстафеты</t>
        </is>
      </c>
      <c r="G28" s="16" t="inlineStr">
        <is>
          <t>Центр + 30 мин</t>
        </is>
      </c>
      <c r="H28" s="16" t="inlineStr">
        <is>
          <t>HTML</t>
        </is>
      </c>
      <c r="I28" s="16" t="inlineStr">
        <is>
          <t>Еженедельно</t>
        </is>
      </c>
      <c r="J28" s="16" t="n">
        <v>2</v>
      </c>
      <c r="K28" s="16" t="inlineStr">
        <is>
          <t>да</t>
        </is>
      </c>
      <c r="L28" s="16" t="inlineStr">
        <is>
          <t>Этап 5: подключён — JSON-LD SportsEvent, но список — 24 ближайших забега по стране; сейчас в регионе 0 (фильтр по почтовым зонам). Ценность низкая — пересмотреть на этапе 6</t>
        </is>
      </c>
      <c r="M28" s="10" t="inlineStr">
        <is>
          <t>https://www.runthrough.co.uk/events-timeline</t>
        </is>
      </c>
      <c r="N28" s="10" t="inlineStr">
        <is>
          <t>разрешено</t>
        </is>
      </c>
      <c r="O28" s="10" t="inlineStr">
        <is>
          <t>2026-09-28</t>
        </is>
      </c>
      <c r="P28" s="10" t="inlineStr"/>
    </row>
    <row r="29" ht="15" customHeight="1" s="11">
      <c r="A29" s="16" t="inlineStr">
        <is>
          <t>S028</t>
        </is>
      </c>
      <c r="B29" s="16" t="inlineStr">
        <is>
          <t>Спорт — участвовать</t>
        </is>
      </c>
      <c r="C29" s="16" t="inlineStr">
        <is>
          <t>Cambridge Half Marathon</t>
        </is>
      </c>
      <c r="D29" s="16" t="inlineStr">
        <is>
          <t>Организатор</t>
        </is>
      </c>
      <c r="E29" s="16" t="inlineStr">
        <is>
          <t>https://cambridgehalfmarathon.com/</t>
        </is>
      </c>
      <c r="F29" s="16" t="inlineStr">
        <is>
          <t>Полумарафон, март</t>
        </is>
      </c>
      <c r="G29" s="16" t="inlineStr">
        <is>
          <t>Центр</t>
        </is>
      </c>
      <c r="H29" s="16" t="inlineStr">
        <is>
          <t>HTML</t>
        </is>
      </c>
      <c r="I29" s="16" t="inlineStr">
        <is>
          <t>Ежегодно</t>
        </is>
      </c>
      <c r="J29" s="16" t="n">
        <v>1</v>
      </c>
      <c r="K29" s="16" t="inlineStr">
        <is>
          <t>да</t>
        </is>
      </c>
      <c r="L29" s="16" t="inlineStr">
        <is>
          <t>Важен и для рубрики «Практическое» — перекрытия Этап 6: ежегодное — через recurring_events (R03)</t>
        </is>
      </c>
      <c r="M29" s="10" t="inlineStr">
        <is>
          <t>https://cambridgehalfmarathon.com/</t>
        </is>
      </c>
      <c r="N29" s="10" t="inlineStr">
        <is>
          <t>разрешено</t>
        </is>
      </c>
      <c r="O29" s="10" t="inlineStr">
        <is>
          <t>2026-09-28</t>
        </is>
      </c>
      <c r="P29" s="10" t="inlineStr"/>
    </row>
    <row r="30" ht="23.85" customHeight="1" s="11">
      <c r="A30" s="31" t="inlineStr">
        <is>
          <t>S029</t>
        </is>
      </c>
      <c r="B30" s="16" t="inlineStr">
        <is>
          <t>Спорт — участвовать</t>
        </is>
      </c>
      <c r="C30" s="16" t="inlineStr">
        <is>
          <t>Let's Do This — Cambridgeshire</t>
        </is>
      </c>
      <c r="D30" s="16" t="inlineStr">
        <is>
          <t>Агрегатор / регистрация</t>
        </is>
      </c>
      <c r="E30" s="16" t="inlineStr">
        <is>
          <t>https://www.letsdothis.com</t>
        </is>
      </c>
      <c r="F30" s="16" t="inlineStr">
        <is>
          <t>Забеги, триатлоны, велозаезды</t>
        </is>
      </c>
      <c r="G30" s="16" t="inlineStr">
        <is>
          <t>Час</t>
        </is>
      </c>
      <c r="H30" s="16" t="inlineStr">
        <is>
          <t>HTML</t>
        </is>
      </c>
      <c r="I30" s="16" t="inlineStr">
        <is>
          <t>Еженедельно</t>
        </is>
      </c>
      <c r="J30" s="16" t="n">
        <v>2</v>
      </c>
      <c r="K30" s="16" t="inlineStr">
        <is>
          <t>нет</t>
        </is>
      </c>
      <c r="L30" s="16" t="inlineStr">
        <is>
          <t>Этап 5: закрыт — robots.txt отвечает 403</t>
        </is>
      </c>
      <c r="N30" s="10" t="inlineStr">
        <is>
          <t>—</t>
        </is>
      </c>
      <c r="O30" s="10" t="inlineStr">
        <is>
          <t>2026-09-28</t>
        </is>
      </c>
      <c r="P30" s="10" t="inlineStr"/>
    </row>
    <row r="31" ht="15" customHeight="1" s="11">
      <c r="A31" s="16" t="inlineStr">
        <is>
          <t>S030</t>
        </is>
      </c>
      <c r="B31" s="16" t="inlineStr">
        <is>
          <t>Фестивали</t>
        </is>
      </c>
      <c r="C31" s="16" t="inlineStr">
        <is>
          <t>Cambridge Festival (университет)</t>
        </is>
      </c>
      <c r="D31" s="16" t="inlineStr">
        <is>
          <t>Организатор</t>
        </is>
      </c>
      <c r="E31" s="16" t="inlineStr">
        <is>
          <t>https://www.festival.cam.ac.uk/events</t>
        </is>
      </c>
      <c r="F31" s="16" t="inlineStr">
        <is>
          <t>Наука, гуманитарные темы, весна</t>
        </is>
      </c>
      <c r="G31" s="16" t="inlineStr">
        <is>
          <t>Центр</t>
        </is>
      </c>
      <c r="H31" s="16" t="inlineStr">
        <is>
          <t>HTML (curl, пауза 10 с)</t>
        </is>
      </c>
      <c r="I31" s="16" t="inlineStr">
        <is>
          <t>Сезонно</t>
        </is>
      </c>
      <c r="J31" s="16" t="n">
        <v>1</v>
      </c>
      <c r="K31" s="16" t="inlineStr">
        <is>
          <t>да</t>
        </is>
      </c>
      <c r="L31" s="16" t="inlineStr">
        <is>
          <t>v0.4: решение после этапа 1: собирать через curl с честным User-Agent и паузой 10 с (robots.txt разрешает, Crawl-delay 10); под браузер не маскироваться; фестиваль в марте Этап 6: ежегодное — Cambridge Festival — весна; дата через recurring_events (R04); коллектор программы — перед фестивалем (март)</t>
        </is>
      </c>
      <c r="M31" s="10" t="inlineStr">
        <is>
          <t>https://www.festival.cam.ac.uk/events</t>
        </is>
      </c>
      <c r="N31" s="10" t="inlineStr">
        <is>
          <t>разрешено, Crawl-delay 10</t>
        </is>
      </c>
      <c r="O31" s="10" t="inlineStr">
        <is>
          <t>2026-09-28</t>
        </is>
      </c>
      <c r="P31" s="10" t="inlineStr"/>
    </row>
    <row r="32" ht="15" customHeight="1" s="11">
      <c r="A32" s="16" t="inlineStr">
        <is>
          <t>S031</t>
        </is>
      </c>
      <c r="B32" s="16" t="inlineStr">
        <is>
          <t>Фестивали</t>
        </is>
      </c>
      <c r="C32" s="16" t="inlineStr">
        <is>
          <t>Cambridge Folk Festival</t>
        </is>
      </c>
      <c r="D32" s="16" t="inlineStr">
        <is>
          <t>Организатор</t>
        </is>
      </c>
      <c r="E32" s="16" t="inlineStr">
        <is>
          <t>https://www.cambridgefolkfestival.co.uk/</t>
        </is>
      </c>
      <c r="F32" s="16" t="inlineStr">
        <is>
          <t>Фолк-фестиваль, лето</t>
        </is>
      </c>
      <c r="G32" s="16" t="inlineStr">
        <is>
          <t>Центр</t>
        </is>
      </c>
      <c r="H32" s="16" t="inlineStr">
        <is>
          <t>HTML</t>
        </is>
      </c>
      <c r="I32" s="16" t="inlineStr">
        <is>
          <t>Ежегодно</t>
        </is>
      </c>
      <c r="J32" s="16" t="n">
        <v>1</v>
      </c>
      <c r="K32" s="16" t="inlineStr">
        <is>
          <t>да</t>
        </is>
      </c>
      <c r="L32" s="16" t="inlineStr">
        <is>
          <t>v0.4: ежегодно; cambridgelive.org.uk/folk-festival → cambridgefolkfestival.co.uk Этап 6: ежегодное — через recurring_events (R09)</t>
        </is>
      </c>
      <c r="M32" s="10" t="inlineStr">
        <is>
          <t>https://www.cambridgefolkfestival.co.uk/</t>
        </is>
      </c>
      <c r="N32" s="10" t="inlineStr">
        <is>
          <t>разрешено</t>
        </is>
      </c>
      <c r="O32" s="10" t="inlineStr">
        <is>
          <t>2026-09-28</t>
        </is>
      </c>
      <c r="P32" s="10" t="inlineStr"/>
    </row>
    <row r="33" ht="15" customHeight="1" s="11">
      <c r="A33" s="16" t="inlineStr">
        <is>
          <t>S032</t>
        </is>
      </c>
      <c r="B33" s="16" t="inlineStr">
        <is>
          <t>Фестивали</t>
        </is>
      </c>
      <c r="C33" s="16" t="inlineStr">
        <is>
          <t>Cambridge Beer Festival</t>
        </is>
      </c>
      <c r="D33" s="16" t="inlineStr">
        <is>
          <t>Организатор</t>
        </is>
      </c>
      <c r="E33" s="16" t="inlineStr">
        <is>
          <t>https://www.cambridgebeerfestival.com</t>
        </is>
      </c>
      <c r="F33" s="16" t="inlineStr">
        <is>
          <t>Пивной фестиваль CAMRA, май</t>
        </is>
      </c>
      <c r="G33" s="16" t="inlineStr">
        <is>
          <t>Центр</t>
        </is>
      </c>
      <c r="H33" s="16" t="inlineStr">
        <is>
          <t>iCal</t>
        </is>
      </c>
      <c r="I33" s="16" t="inlineStr">
        <is>
          <t>Ежегодно</t>
        </is>
      </c>
      <c r="J33" s="16" t="n">
        <v>1</v>
      </c>
      <c r="K33" s="16" t="inlineStr">
        <is>
          <t>да</t>
        </is>
      </c>
      <c r="L33" s="16" t="n"/>
      <c r="M33" s="10" t="inlineStr">
        <is>
          <t>https://www.cambridgebeerfestival.com/events/?ical=1</t>
        </is>
      </c>
      <c r="N33" s="10" t="inlineStr">
        <is>
          <t>разрешено</t>
        </is>
      </c>
      <c r="O33" s="10" t="inlineStr">
        <is>
          <t>2026-09-27</t>
        </is>
      </c>
      <c r="P33" s="10" t="inlineStr">
        <is>
          <t>события ведут к: продавец не определён — 1 соб.</t>
        </is>
      </c>
    </row>
    <row r="34" ht="23.85" customHeight="1" s="11">
      <c r="A34" s="16" t="inlineStr">
        <is>
          <t>S033</t>
        </is>
      </c>
      <c r="B34" s="16" t="inlineStr">
        <is>
          <t>Фестивали</t>
        </is>
      </c>
      <c r="C34" s="16" t="inlineStr">
        <is>
          <t>Strawberry Fair</t>
        </is>
      </c>
      <c r="D34" s="16" t="inlineStr">
        <is>
          <t>Организатор</t>
        </is>
      </c>
      <c r="E34" s="16" t="inlineStr">
        <is>
          <t>https://strawberry-fair.org.uk/</t>
        </is>
      </c>
      <c r="F34" s="16" t="inlineStr">
        <is>
          <t>Бесплатный фестиваль на Midsummer Common, июнь</t>
        </is>
      </c>
      <c r="G34" s="16" t="inlineStr">
        <is>
          <t>Центр</t>
        </is>
      </c>
      <c r="H34" s="16" t="inlineStr">
        <is>
          <t>JSON-LD</t>
        </is>
      </c>
      <c r="I34" s="16" t="inlineStr">
        <is>
          <t>Ежегодно</t>
        </is>
      </c>
      <c r="J34" s="16" t="n">
        <v>1</v>
      </c>
      <c r="K34" s="16" t="inlineStr">
        <is>
          <t>да</t>
        </is>
      </c>
      <c r="L34" s="16" t="inlineStr">
        <is>
          <t>Бывали отмены — мониторить. v0.4: JSON-LD Event на главной; /feed/ отдаёт HTML, фида нет</t>
        </is>
      </c>
      <c r="M34" s="10" t="inlineStr">
        <is>
          <t>https://strawberry-fair.org.uk/</t>
        </is>
      </c>
      <c r="N34" s="10" t="inlineStr">
        <is>
          <t>разрешено</t>
        </is>
      </c>
      <c r="O34" s="10" t="inlineStr">
        <is>
          <t>2026-09-27</t>
        </is>
      </c>
      <c r="P34" s="10" t="inlineStr"/>
    </row>
    <row r="35" ht="15" customHeight="1" s="11">
      <c r="A35" s="16" t="inlineStr">
        <is>
          <t>S034</t>
        </is>
      </c>
      <c r="B35" s="16" t="inlineStr">
        <is>
          <t>Фестивали</t>
        </is>
      </c>
      <c r="C35" s="16" t="inlineStr">
        <is>
          <t>Whittlesea Straw Bear Festival</t>
        </is>
      </c>
      <c r="D35" s="16" t="inlineStr">
        <is>
          <t>Организатор</t>
        </is>
      </c>
      <c r="E35" s="17" t="n"/>
      <c r="F35" s="16" t="inlineStr">
        <is>
          <t>Средневековый зимний фестиваль, январь</t>
        </is>
      </c>
      <c r="G35" s="16" t="inlineStr">
        <is>
          <t>Час</t>
        </is>
      </c>
      <c r="H35" s="16" t="inlineStr">
        <is>
          <t>Ручной + Peterborough Telegraph</t>
        </is>
      </c>
      <c r="I35" s="16" t="inlineStr">
        <is>
          <t>Ежегодно</t>
        </is>
      </c>
      <c r="J35" s="16" t="n">
        <v>2</v>
      </c>
      <c r="K35" s="17" t="inlineStr">
        <is>
          <t>да</t>
        </is>
      </c>
      <c r="L35" s="16" t="inlineStr">
        <is>
          <t>Этап 5: ежегодное — уже в recurring_events (R01)</t>
        </is>
      </c>
      <c r="M35" s="10" t="inlineStr">
        <is>
          <t>https://www.strawbear.org.uk</t>
        </is>
      </c>
      <c r="N35" s="10" t="inlineStr">
        <is>
          <t>разрешено</t>
        </is>
      </c>
      <c r="O35" s="10" t="inlineStr">
        <is>
          <t>2026-09-28</t>
        </is>
      </c>
      <c r="P35" s="10" t="inlineStr"/>
    </row>
    <row r="36" ht="15" customHeight="1" s="11">
      <c r="A36" s="16" t="inlineStr">
        <is>
          <t>S035</t>
        </is>
      </c>
      <c r="B36" s="16" t="inlineStr">
        <is>
          <t>Фестивали</t>
        </is>
      </c>
      <c r="C36" s="16" t="inlineStr">
        <is>
          <t>Cambridge Film Festival</t>
        </is>
      </c>
      <c r="D36" s="16" t="inlineStr">
        <is>
          <t>Организатор</t>
        </is>
      </c>
      <c r="E36" s="17" t="n"/>
      <c r="F36" s="16" t="inlineStr">
        <is>
          <t>Кинофестиваль, осень</t>
        </is>
      </c>
      <c r="G36" s="16" t="inlineStr">
        <is>
          <t>Центр</t>
        </is>
      </c>
      <c r="H36" s="16" t="inlineStr">
        <is>
          <t>Ручной (ежегодно)</t>
        </is>
      </c>
      <c r="I36" s="16" t="inlineStr">
        <is>
          <t>Ежегодно</t>
        </is>
      </c>
      <c r="J36" s="16" t="n">
        <v>2</v>
      </c>
      <c r="K36" s="17" t="inlineStr">
        <is>
          <t>да</t>
        </is>
      </c>
      <c r="L36" s="16" t="inlineStr">
        <is>
          <t>Этап 5: ежегодное — фестиваль раз в год (осень); HTML без фида — предлагаю добавить в recurring_events</t>
        </is>
      </c>
      <c r="M36" s="10" t="inlineStr">
        <is>
          <t>https://www.cambridgefilmfestival.org.uk</t>
        </is>
      </c>
      <c r="N36" s="10" t="inlineStr">
        <is>
          <t>разрешено</t>
        </is>
      </c>
      <c r="O36" s="10" t="inlineStr">
        <is>
          <t>2026-09-28</t>
        </is>
      </c>
      <c r="P36" s="10" t="inlineStr"/>
    </row>
    <row r="37" ht="15" customHeight="1" s="11">
      <c r="A37" s="31" t="inlineStr">
        <is>
          <t>S036</t>
        </is>
      </c>
      <c r="B37" s="16" t="inlineStr">
        <is>
          <t>Фестивали</t>
        </is>
      </c>
      <c r="C37" s="16" t="inlineStr">
        <is>
          <t>Cambridge Literary Festival</t>
        </is>
      </c>
      <c r="D37" s="16" t="inlineStr">
        <is>
          <t>Организатор</t>
        </is>
      </c>
      <c r="E37" s="17" t="n"/>
      <c r="F37" s="16" t="inlineStr">
        <is>
          <t>Литфестиваль, весна и осень</t>
        </is>
      </c>
      <c r="G37" s="16" t="inlineStr">
        <is>
          <t>Центр</t>
        </is>
      </c>
      <c r="H37" s="16" t="inlineStr">
        <is>
          <t>HTML</t>
        </is>
      </c>
      <c r="I37" s="16" t="inlineStr">
        <is>
          <t>Сезонно</t>
        </is>
      </c>
      <c r="J37" s="16" t="n">
        <v>2</v>
      </c>
      <c r="K37" s="17" t="inlineStr">
        <is>
          <t>нет</t>
        </is>
      </c>
      <c r="L37" s="16" t="inlineStr">
        <is>
          <t>Этап 5: закрыт — 403 на сайт и /events</t>
        </is>
      </c>
      <c r="N37" s="10" t="inlineStr">
        <is>
          <t>—</t>
        </is>
      </c>
      <c r="O37" s="10" t="inlineStr">
        <is>
          <t>2026-09-28</t>
        </is>
      </c>
      <c r="P37" s="10" t="inlineStr"/>
    </row>
    <row r="38" ht="23.85" customHeight="1" s="11">
      <c r="A38" s="16" t="inlineStr">
        <is>
          <t>S037</t>
        </is>
      </c>
      <c r="B38" s="16" t="inlineStr">
        <is>
          <t>Фестивали</t>
        </is>
      </c>
      <c r="C38" s="16" t="inlineStr">
        <is>
          <t>Cambridge Science Festival / семейные программы</t>
        </is>
      </c>
      <c r="D38" s="16" t="inlineStr">
        <is>
          <t>Организатор</t>
        </is>
      </c>
      <c r="E38" s="17" t="n"/>
      <c r="F38" s="16" t="inlineStr">
        <is>
          <t>См. Cambridge Festival</t>
        </is>
      </c>
      <c r="G38" s="16" t="inlineStr">
        <is>
          <t>Центр</t>
        </is>
      </c>
      <c r="H38" s="16" t="inlineStr">
        <is>
          <t>—</t>
        </is>
      </c>
      <c r="I38" s="16" t="inlineStr">
        <is>
          <t>—</t>
        </is>
      </c>
      <c r="J38" s="16" t="n">
        <v>3</v>
      </c>
      <c r="K38" s="17" t="inlineStr">
        <is>
          <t>—</t>
        </is>
      </c>
      <c r="L38" s="16" t="inlineStr">
        <is>
          <t>Дубль — проверить, не слит ли с Cambridge Festival Этап 6: не нужен — Cambridge Science Festival слит с Cambridge Festival — дубль R04</t>
        </is>
      </c>
      <c r="O38" s="10" t="inlineStr">
        <is>
          <t>2026-09-28</t>
        </is>
      </c>
      <c r="P38" s="10" t="inlineStr"/>
    </row>
    <row r="39" ht="23.85" customHeight="1" s="11">
      <c r="A39" s="16" t="inlineStr">
        <is>
          <t>S038</t>
        </is>
      </c>
      <c r="B39" s="16" t="inlineStr">
        <is>
          <t>Ярмарки</t>
        </is>
      </c>
      <c r="C39" s="16" t="inlineStr">
        <is>
          <t>Mill Road Winter Fair</t>
        </is>
      </c>
      <c r="D39" s="16" t="inlineStr">
        <is>
          <t>Организатор</t>
        </is>
      </c>
      <c r="E39" s="16" t="inlineStr">
        <is>
          <t>https://www.millroadwinterfair.org</t>
        </is>
      </c>
      <c r="F39" s="16" t="inlineStr">
        <is>
          <t>Уличная ярмарка, первая суббота декабря; Mill Road Fringe в течение года</t>
        </is>
      </c>
      <c r="G39" s="16" t="inlineStr">
        <is>
          <t>Центр</t>
        </is>
      </c>
      <c r="H39" s="16" t="inlineStr">
        <is>
          <t>RSS</t>
        </is>
      </c>
      <c r="I39" s="16" t="inlineStr">
        <is>
          <t>Еженедельно в сезон</t>
        </is>
      </c>
      <c r="J39" s="16" t="n">
        <v>1</v>
      </c>
      <c r="K39" s="16" t="inlineStr">
        <is>
          <t>да</t>
        </is>
      </c>
      <c r="L39" s="16" t="inlineStr">
        <is>
          <t>Отмены публикуются в соцсетях — нужен контур отмен. v0.4: RSS — новости ярмарки; дату (5.12.2026) и отмены сверять по главной</t>
        </is>
      </c>
      <c r="M39" s="10" t="inlineStr">
        <is>
          <t>https://www.millroadwinterfair.org/feed/</t>
        </is>
      </c>
      <c r="N39" s="10" t="inlineStr">
        <is>
          <t>разрешено</t>
        </is>
      </c>
      <c r="O39" s="10" t="inlineStr">
        <is>
          <t>2026-09-27</t>
        </is>
      </c>
      <c r="P39" s="10" t="inlineStr">
        <is>
          <t>события ведут к: продавец не определён — 1 соб.</t>
        </is>
      </c>
    </row>
    <row r="40" ht="15" customHeight="1" s="11">
      <c r="A40" s="16" t="inlineStr">
        <is>
          <t>S039</t>
        </is>
      </c>
      <c r="B40" s="16" t="inlineStr">
        <is>
          <t>Ярмарки</t>
        </is>
      </c>
      <c r="C40" s="16" t="inlineStr">
        <is>
          <t>Рождественские маркеты в центре</t>
        </is>
      </c>
      <c r="D40" s="16" t="inlineStr">
        <is>
          <t>Организатор</t>
        </is>
      </c>
      <c r="E40" s="16" t="inlineStr">
        <is>
          <t>https://www.christmasincambridge.co.uk/</t>
        </is>
      </c>
      <c r="F40" s="16" t="inlineStr">
        <is>
          <t>Сезонные рынки</t>
        </is>
      </c>
      <c r="G40" s="16" t="inlineStr">
        <is>
          <t>Центр</t>
        </is>
      </c>
      <c r="H40" s="16" t="inlineStr">
        <is>
          <t>HTML</t>
        </is>
      </c>
      <c r="I40" s="16" t="inlineStr">
        <is>
          <t>Сезонно</t>
        </is>
      </c>
      <c r="J40" s="16" t="n">
        <v>1</v>
      </c>
      <c r="K40" s="16" t="inlineStr">
        <is>
          <t>да</t>
        </is>
      </c>
      <c r="L40" s="16" t="inlineStr">
        <is>
          <t>v0.4: сезонно (ноябрь–декабрь); фидов нет Этап 6: ежегодное — Christmas in Cambridge (Parker's Piece: каток, маркет, колесо) — recurring R21, дата со страницы (13.11.2026 – 3.01.2027)</t>
        </is>
      </c>
      <c r="M40" s="10" t="inlineStr">
        <is>
          <t>https://www.christmasincambridge.co.uk/</t>
        </is>
      </c>
      <c r="N40" s="10" t="inlineStr">
        <is>
          <t>разрешено</t>
        </is>
      </c>
      <c r="O40" s="10" t="inlineStr">
        <is>
          <t>2026-09-28</t>
        </is>
      </c>
      <c r="P40" s="10" t="inlineStr"/>
    </row>
    <row r="41" ht="23.85" customHeight="1" s="11">
      <c r="A41" s="16" t="inlineStr">
        <is>
          <t>S040</t>
        </is>
      </c>
      <c r="B41" s="16" t="inlineStr">
        <is>
          <t>Ярмарки</t>
        </is>
      </c>
      <c r="C41" s="16" t="inlineStr">
        <is>
          <t>Деревенские fetes и летние ярмарки</t>
        </is>
      </c>
      <c r="D41" s="16" t="inlineStr">
        <is>
          <t>Организатор</t>
        </is>
      </c>
      <c r="E41" s="17" t="n"/>
      <c r="F41" s="16" t="inlineStr">
        <is>
          <t>Village fetes вокруг Кембриджа</t>
        </is>
      </c>
      <c r="G41" s="16" t="inlineStr">
        <is>
          <t>30 мин</t>
        </is>
      </c>
      <c r="H41" s="16" t="inlineStr">
        <is>
          <t>Eventbrite / Visit Cambridge / FB-группы вручную</t>
        </is>
      </c>
      <c r="I41" s="16" t="inlineStr">
        <is>
          <t>Сезонно</t>
        </is>
      </c>
      <c r="J41" s="16" t="n">
        <v>3</v>
      </c>
      <c r="K41" s="17" t="inlineStr">
        <is>
          <t>—</t>
        </is>
      </c>
      <c r="L41" s="16" t="inlineStr">
        <is>
          <t>Трудно собрать автоматически Этап 6: покрыт — деревенские fetes — через Eventbrite (S008), Visit Cambridge (S001), статьи Newsquest (S116–S119); Facebook-группы не парсим</t>
        </is>
      </c>
      <c r="O41" s="10" t="inlineStr">
        <is>
          <t>2026-09-28</t>
        </is>
      </c>
      <c r="P41" s="10" t="inlineStr"/>
    </row>
    <row r="42" ht="15" customHeight="1" s="11">
      <c r="A42" s="16" t="inlineStr">
        <is>
          <t>S041</t>
        </is>
      </c>
      <c r="B42" s="16" t="inlineStr">
        <is>
          <t>Театр</t>
        </is>
      </c>
      <c r="C42" s="16" t="inlineStr">
        <is>
          <t>Cambridge Arts Theatre</t>
        </is>
      </c>
      <c r="D42" s="16" t="inlineStr">
        <is>
          <t>Площадка</t>
        </is>
      </c>
      <c r="E42" s="18" t="inlineStr">
        <is>
          <t>https://www.artstheatre.co.uk</t>
        </is>
      </c>
      <c r="F42" s="16" t="inlineStr">
        <is>
          <t>Драма, мюзиклы, пантомима</t>
        </is>
      </c>
      <c r="G42" s="16" t="inlineStr">
        <is>
          <t>Центр</t>
        </is>
      </c>
      <c r="H42" s="16" t="inlineStr">
        <is>
          <t>Через Ents24 (S006)</t>
        </is>
      </c>
      <c r="I42" s="16" t="inlineStr">
        <is>
          <t>Ежедневно</t>
        </is>
      </c>
      <c r="J42" s="16" t="n">
        <v>1</v>
      </c>
      <c r="K42" s="18" t="inlineStr">
        <is>
          <t>нет</t>
        </is>
      </c>
      <c r="L42" s="16" t="inlineStr">
        <is>
          <t>v0.4: решение после этапа 1: защиту не обходим; афишу Arts Theatre берём из Ents24. Домен: cambridgeartstheatre.com → artstheatre.co.uk Этап 6: покрыт — защита от ботов; афиша — через Ents24 (S006)</t>
        </is>
      </c>
      <c r="N42" s="10" t="inlineStr">
        <is>
          <t>разрешено</t>
        </is>
      </c>
      <c r="O42" s="10" t="inlineStr">
        <is>
          <t>2026-09-28</t>
        </is>
      </c>
      <c r="P42" s="10" t="inlineStr"/>
    </row>
    <row r="43" ht="15" customHeight="1" s="11">
      <c r="A43" s="30" t="inlineStr">
        <is>
          <t>S042</t>
        </is>
      </c>
      <c r="B43" s="16" t="inlineStr">
        <is>
          <t>Театр</t>
        </is>
      </c>
      <c r="C43" s="16" t="inlineStr">
        <is>
          <t>ADC Theatre</t>
        </is>
      </c>
      <c r="D43" s="16" t="inlineStr">
        <is>
          <t>Площадка</t>
        </is>
      </c>
      <c r="E43" s="16" t="inlineStr">
        <is>
          <t>https://www.adctheatre.com</t>
        </is>
      </c>
      <c r="F43" s="16" t="inlineStr">
        <is>
          <t>Студенческий театр, комедия (Footlights)</t>
        </is>
      </c>
      <c r="G43" s="16" t="inlineStr">
        <is>
          <t>Центр</t>
        </is>
      </c>
      <c r="H43" s="16" t="inlineStr">
        <is>
          <t>iCal</t>
        </is>
      </c>
      <c r="I43" s="16" t="inlineStr">
        <is>
          <t>Еженедельно</t>
        </is>
      </c>
      <c r="J43" s="16" t="n">
        <v>1</v>
      </c>
      <c r="K43" s="16" t="inlineStr">
        <is>
          <t>да</t>
        </is>
      </c>
      <c r="L43" s="16" t="inlineStr">
        <is>
          <t>Дёшево и часто — хорош для рубрики «недорого». v0.4: афиша ADC ведётся в Camdram: iCal /venues/adc-theatre/diary.ics и JSON diary.json; билеты — Spektrix Этап 6c: подключён — ADC Theatre: цены — со страницы продажи adctheatre.com (robots.txt отвечает 404 — правил нет)</t>
        </is>
      </c>
      <c r="M43" s="10" t="inlineStr">
        <is>
          <t>https://www.camdram.net/venues/adc-theatre/diary.ics</t>
        </is>
      </c>
      <c r="N43" s="10" t="inlineStr">
        <is>
          <t>разрешено</t>
        </is>
      </c>
      <c r="O43" s="10" t="inlineStr">
        <is>
          <t>2026-09-29</t>
        </is>
      </c>
      <c r="P43" s="10" t="inlineStr">
        <is>
          <t>события ведут к: Spektrix (касса площадки) — 4 соб.: программы нет; продавец не определён — 1 соб.</t>
        </is>
      </c>
    </row>
    <row r="44" ht="15" customHeight="1" s="11">
      <c r="A44" s="30" t="inlineStr">
        <is>
          <t>S043</t>
        </is>
      </c>
      <c r="B44" s="16" t="inlineStr">
        <is>
          <t>Театр</t>
        </is>
      </c>
      <c r="C44" s="16" t="inlineStr">
        <is>
          <t>Mumford Theatre (ARU)</t>
        </is>
      </c>
      <c r="D44" s="16" t="inlineStr">
        <is>
          <t>Площадка</t>
        </is>
      </c>
      <c r="E44" s="17" t="n"/>
      <c r="F44" s="16" t="inlineStr">
        <is>
          <t>Любительский и гастрольный театр</t>
        </is>
      </c>
      <c r="G44" s="16" t="inlineStr">
        <is>
          <t>Центр</t>
        </is>
      </c>
      <c r="H44" s="16" t="inlineStr">
        <is>
          <t>HTML</t>
        </is>
      </c>
      <c r="I44" s="16" t="inlineStr">
        <is>
          <t>Еженедельно</t>
        </is>
      </c>
      <c r="J44" s="16" t="n">
        <v>3</v>
      </c>
      <c r="K44" s="17" t="inlineStr">
        <is>
          <t>да</t>
        </is>
      </c>
      <c r="L44" s="16" t="inlineStr">
        <is>
          <t>Этап 6: подключён — Mumford Theatre (ARU): афиша на Eventbrite (страница организатора), JSON-LD страниц событий; сейчас у организатора 0 предстоящих (upcomingEventsTotal: 0) — межсезонье</t>
        </is>
      </c>
      <c r="O44" s="10" t="inlineStr">
        <is>
          <t>2026-09-28</t>
        </is>
      </c>
      <c r="P44" s="10" t="inlineStr"/>
    </row>
    <row r="45" ht="15" customHeight="1" s="11">
      <c r="A45" s="16" t="inlineStr">
        <is>
          <t>S044</t>
        </is>
      </c>
      <c r="B45" s="16" t="inlineStr">
        <is>
          <t>Театр</t>
        </is>
      </c>
      <c r="C45" s="16" t="inlineStr">
        <is>
          <t>Постановки в садах колледжей (лето)</t>
        </is>
      </c>
      <c r="D45" s="16" t="inlineStr">
        <is>
          <t>Организатор</t>
        </is>
      </c>
      <c r="E45" s="17" t="n"/>
      <c r="F45" s="16" t="inlineStr">
        <is>
          <t>Шекспир под открытым небом</t>
        </is>
      </c>
      <c r="G45" s="16" t="inlineStr">
        <is>
          <t>Центр</t>
        </is>
      </c>
      <c r="H45" s="16" t="inlineStr">
        <is>
          <t>Ручной</t>
        </is>
      </c>
      <c r="I45" s="16" t="inlineStr">
        <is>
          <t>Сезонно</t>
        </is>
      </c>
      <c r="J45" s="16" t="n">
        <v>2</v>
      </c>
      <c r="K45" s="17" t="inlineStr">
        <is>
          <t>да</t>
        </is>
      </c>
      <c r="L45" s="16" t="inlineStr">
        <is>
          <t>Этап 5: ежегодное — летний сезон постановок; ручной сезонный календарь</t>
        </is>
      </c>
      <c r="M45" s="10" t="inlineStr">
        <is>
          <t>https://cambridgeshakespeare.com/</t>
        </is>
      </c>
      <c r="N45" s="10" t="inlineStr">
        <is>
          <t>разрешено</t>
        </is>
      </c>
      <c r="O45" s="10" t="inlineStr">
        <is>
          <t>2026-09-28</t>
        </is>
      </c>
      <c r="P45" s="10" t="inlineStr"/>
    </row>
    <row r="46" ht="15" customHeight="1" s="11">
      <c r="A46" s="30" t="inlineStr">
        <is>
          <t>S045</t>
        </is>
      </c>
      <c r="B46" s="16" t="inlineStr">
        <is>
          <t>Кино</t>
        </is>
      </c>
      <c r="C46" s="16" t="inlineStr">
        <is>
          <t>Arts Picturehouse</t>
        </is>
      </c>
      <c r="D46" s="16" t="inlineStr">
        <is>
          <t>Площадка</t>
        </is>
      </c>
      <c r="E46" s="16" t="inlineStr">
        <is>
          <t>https://www.picturehouses.com/cinema/arts-picturehouse-cambridge</t>
        </is>
      </c>
      <c r="F46" s="16" t="inlineStr">
        <is>
          <t>Арт-кино, спецпоказы, Q&amp;A</t>
        </is>
      </c>
      <c r="G46" s="16" t="inlineStr">
        <is>
          <t>Центр</t>
        </is>
      </c>
      <c r="H46" s="16" t="inlineStr">
        <is>
          <t>HTML</t>
        </is>
      </c>
      <c r="I46" s="16" t="inlineStr">
        <is>
          <t>Еженедельно</t>
        </is>
      </c>
      <c r="J46" s="16" t="n">
        <v>1</v>
      </c>
      <c r="K46" s="16" t="inlineStr">
        <is>
          <t>да</t>
        </is>
      </c>
      <c r="L46" s="16" t="inlineStr">
        <is>
          <t>Этап 6: не нужен — сеансы — только через внутренний AJAX с XSRF-токеном сессии (не используем); обычные сеансы — не события выпуска; спецпоказы приходят через Visit Cambridge, статьи и Cambridge Film Festival (recurring R17) Этап 6c: подключён — Arts Picturehouse: страница кинотеатра без AJAX — спецпоказы с датой и «Now Playing»; сеансы (AJAX с XSRF-токеном) не используем Ошибочное прежнее решение: S045 (этап 6: «не нужен») — ошибочно: для рубрики «В кино» нужны спецпоказы и новые фильмы, а не сеансы.</t>
        </is>
      </c>
      <c r="M46" s="10" t="inlineStr">
        <is>
          <t>https://www.picturehouses.com/cinema/arts-picturehouse-cambridge</t>
        </is>
      </c>
      <c r="N46" s="10" t="inlineStr">
        <is>
          <t>разрешено</t>
        </is>
      </c>
      <c r="O46" s="10" t="inlineStr">
        <is>
          <t>2026-09-29</t>
        </is>
      </c>
      <c r="P46" s="10" t="inlineStr">
        <is>
          <t>события ведут к: продавец не определён — 5 соб.</t>
        </is>
      </c>
    </row>
    <row r="47" ht="15" customHeight="1" s="11">
      <c r="A47" s="16" t="inlineStr">
        <is>
          <t>S046</t>
        </is>
      </c>
      <c r="B47" s="16" t="inlineStr">
        <is>
          <t>Кино</t>
        </is>
      </c>
      <c r="C47" s="16" t="inlineStr">
        <is>
          <t>Кино под открытым небом (летние сезоны)</t>
        </is>
      </c>
      <c r="D47" s="16" t="inlineStr">
        <is>
          <t>Организатор</t>
        </is>
      </c>
      <c r="E47" s="17" t="n"/>
      <c r="F47" s="16" t="inlineStr">
        <is>
          <t>Летние показы в парках и колледжах</t>
        </is>
      </c>
      <c r="G47" s="16" t="inlineStr">
        <is>
          <t>Центр</t>
        </is>
      </c>
      <c r="H47" s="16" t="inlineStr">
        <is>
          <t>Ручной</t>
        </is>
      </c>
      <c r="I47" s="16" t="inlineStr">
        <is>
          <t>Сезонно</t>
        </is>
      </c>
      <c r="J47" s="16" t="n">
        <v>2</v>
      </c>
      <c r="K47" s="17" t="inlineStr">
        <is>
          <t>нет событий</t>
        </is>
      </c>
      <c r="L47" s="16" t="inlineStr">
        <is>
          <t>Этап 5: ежегодное — летние показы; адрес организатора не подтверждён — ручной сезонный</t>
        </is>
      </c>
      <c r="M47" s="10" t="inlineStr">
        <is>
          <t>https://www.cambridgefilmfestival.org.uk</t>
        </is>
      </c>
      <c r="N47" s="10" t="inlineStr">
        <is>
          <t>разрешено</t>
        </is>
      </c>
      <c r="O47" s="10" t="inlineStr">
        <is>
          <t>2026-09-28</t>
        </is>
      </c>
      <c r="P47" s="10" t="inlineStr"/>
    </row>
    <row r="48" ht="23.85" customHeight="1" s="11">
      <c r="A48" s="16" t="inlineStr">
        <is>
          <t>S047</t>
        </is>
      </c>
      <c r="B48" s="16" t="inlineStr">
        <is>
          <t>Лекции</t>
        </is>
      </c>
      <c r="C48" s="16" t="inlineStr">
        <is>
          <t>Talks.cam</t>
        </is>
      </c>
      <c r="D48" s="16" t="inlineStr">
        <is>
          <t>Календарь</t>
        </is>
      </c>
      <c r="E48" s="16" t="inlineStr">
        <is>
          <t>https://talks.cam.ac.uk</t>
        </is>
      </c>
      <c r="F48" s="16" t="inlineStr">
        <is>
          <t>Университетские лекции и семинары; есть публичные списки</t>
        </is>
      </c>
      <c r="G48" s="16" t="inlineStr">
        <is>
          <t>Центр</t>
        </is>
      </c>
      <c r="H48" s="16" t="inlineStr">
        <is>
          <t>iCal</t>
        </is>
      </c>
      <c r="I48" s="16" t="inlineStr">
        <is>
          <t>Ежедневно</t>
        </is>
      </c>
      <c r="J48" s="16" t="n">
        <v>1</v>
      </c>
      <c r="K48" s="16" t="inlineStr">
        <is>
          <t>да</t>
        </is>
      </c>
      <c r="L48" s="16" t="inlineStr">
        <is>
          <t>Лучший технический источник: готовые фиды с датой, местом и организатором. v0.4: 5 публичных списков: 5606 Featured talks, 5462 Major Public Lectures in Cambridge, 5358 Darwin College Lecture Series, 5769 Cabinet of Natural History, 23088 CamTalks; список Fitzwilliam (12614) пуст; фиды /show/ics|rss|xml/&lt;id&gt;</t>
        </is>
      </c>
      <c r="M48" s="10" t="inlineStr">
        <is>
          <t>https://talks.cam.ac.uk/show/ics/{5606,5462,5358,5769,23088}/</t>
        </is>
      </c>
      <c r="N48" s="10" t="inlineStr">
        <is>
          <t>разрешено</t>
        </is>
      </c>
      <c r="O48" s="10" t="inlineStr">
        <is>
          <t>2026-09-27</t>
        </is>
      </c>
      <c r="P48" s="10" t="inlineStr">
        <is>
          <t>события ведут к: продавец не определён — 3 соб.</t>
        </is>
      </c>
    </row>
    <row r="49" ht="15" customHeight="1" s="11">
      <c r="A49" s="30" t="inlineStr">
        <is>
          <t>S048</t>
        </is>
      </c>
      <c r="B49" s="16" t="inlineStr">
        <is>
          <t>Лекции</t>
        </is>
      </c>
      <c r="C49" s="16" t="inlineStr">
        <is>
          <t>University of Cambridge — What's On</t>
        </is>
      </c>
      <c r="D49" s="16" t="inlineStr">
        <is>
          <t>Календарь</t>
        </is>
      </c>
      <c r="E49" s="16" t="inlineStr">
        <is>
          <t>https://www.admin.cam.ac.uk/whatson/</t>
        </is>
      </c>
      <c r="F49" s="16" t="inlineStr">
        <is>
          <t>Публичные события университета</t>
        </is>
      </c>
      <c r="G49" s="16" t="inlineStr">
        <is>
          <t>Центр</t>
        </is>
      </c>
      <c r="H49" s="16" t="inlineStr">
        <is>
          <t>HTML</t>
        </is>
      </c>
      <c r="I49" s="16" t="inlineStr">
        <is>
          <t>Еженедельно</t>
        </is>
      </c>
      <c r="J49" s="16" t="n">
        <v>1</v>
      </c>
      <c r="K49" s="16" t="inlineStr">
        <is>
          <t>да</t>
        </is>
      </c>
      <c r="L49" s="16" t="inlineStr">
        <is>
          <t>v0.4: решение после этапа 1: уважаем Disallow на webservices.admin.cam.ac.uk; собираем HTML-страницу admin.cam.ac.uk/whatson/ (robots.txt её разрешает); лекции также покрывает talks.cam Этап 6: подключён — недельные страницы admin.cam.ac.uk/whatson (3 недели) + раздел Families; iCal/RSS на webservices закрыты robots.txt — не используем</t>
        </is>
      </c>
      <c r="M49" s="10" t="inlineStr">
        <is>
          <t>https://www.admin.cam.ac.uk/whatson/</t>
        </is>
      </c>
      <c r="N49" s="10" t="inlineStr">
        <is>
          <t>разрешено (страница); фиды — запрещено</t>
        </is>
      </c>
      <c r="O49" s="10" t="inlineStr">
        <is>
          <t>2026-09-28</t>
        </is>
      </c>
      <c r="P49" s="10" t="inlineStr">
        <is>
          <t>события ведут к: продавец не определён — 24 соб.; Eventbrite — 2 соб.: программа есть; DigiTickets — 1 соб.: программа есть</t>
        </is>
      </c>
    </row>
    <row r="50" ht="15" customHeight="1" s="11">
      <c r="A50" s="16" t="inlineStr">
        <is>
          <t>S049</t>
        </is>
      </c>
      <c r="B50" s="16" t="inlineStr">
        <is>
          <t>Лекции</t>
        </is>
      </c>
      <c r="C50" s="16" t="inlineStr">
        <is>
          <t>Cambridge Union</t>
        </is>
      </c>
      <c r="D50" s="16" t="inlineStr">
        <is>
          <t>Организатор</t>
        </is>
      </c>
      <c r="E50" s="17" t="inlineStr">
        <is>
          <t>https://cus.org/event</t>
        </is>
      </c>
      <c r="F50" s="16" t="inlineStr">
        <is>
          <t>Дебаты и выступления известных гостей</t>
        </is>
      </c>
      <c r="G50" s="16" t="inlineStr">
        <is>
          <t>Центр</t>
        </is>
      </c>
      <c r="H50" s="16" t="inlineStr">
        <is>
          <t>JSON (WordPress REST) + страница события</t>
        </is>
      </c>
      <c r="I50" s="16" t="inlineStr">
        <is>
          <t>Ежедневно</t>
        </is>
      </c>
      <c r="J50" s="16" t="n">
        <v>2</v>
      </c>
      <c r="K50" s="17" t="inlineStr">
        <is>
          <t>да</t>
        </is>
      </c>
      <c r="L50" s="16" t="inlineStr">
        <is>
          <t>Этап 5: не нужен — мероприятия в основном для членов Union; публичные крупные гости попадают в новости Этап 7b: подключён — события EventJet — записи WordPress event_jet (открытый REST, без токенов); уровень доступа и площадка — со страницы события, дата и цена — Haiku. Доступ: Open To The Public / Ticketed — для всех; Members Only, Members &amp; Cambridge Students — «только для членов», членство Open для всех £370 в год; Life/Annual/Access, Students, Staff — не берём. Termcard — Issuu (картинки), не разбираем. На 30.09 опубликованных событий 0 (Michaelmas не выложен). cus.org отвечает 429 — пауза 10 с. The Orator's Cellar на Skiddle — «No events to display»; площадки The Orator / The Footlight Cellars склеиваются синонимами. Этап 7c: на cus.org/event клуб публикует только билетные мероприятия (ужины, вечеринки в The Orator); программа гостей и дебатов — termcard (S177) и статьи Varsity (S176). В выпуске — одна строка «В Cambridge Union на этой неделе (для членов клуба): …»; открытые для всех — обычными пунктами после появления на cus.org.</t>
        </is>
      </c>
      <c r="M50" s="10" t="inlineStr">
        <is>
          <t>https://cus.org/wp-json/wp/v2/event_jet</t>
        </is>
      </c>
      <c r="N50" s="10" t="inlineStr">
        <is>
          <t>разрешено</t>
        </is>
      </c>
      <c r="O50" s="10" t="inlineStr">
        <is>
          <t>2026-09-30</t>
        </is>
      </c>
      <c r="P50" s="10" t="inlineStr"/>
    </row>
    <row r="51" ht="15" customHeight="1" s="11">
      <c r="A51" s="16" t="inlineStr">
        <is>
          <t>S050</t>
        </is>
      </c>
      <c r="B51" s="16" t="inlineStr">
        <is>
          <t>Выставки и музеи</t>
        </is>
      </c>
      <c r="C51" s="16" t="inlineStr">
        <is>
          <t>Fitzwilliam Museum</t>
        </is>
      </c>
      <c r="D51" s="16" t="inlineStr">
        <is>
          <t>Площадка</t>
        </is>
      </c>
      <c r="E51" s="16" t="inlineStr">
        <is>
          <t>https://fitzmuseum.cam.ac.uk/events</t>
        </is>
      </c>
      <c r="F51" s="16" t="inlineStr">
        <is>
          <t>Выставки, лекции, семейные программы</t>
        </is>
      </c>
      <c r="G51" s="16" t="inlineStr">
        <is>
          <t>Центр</t>
        </is>
      </c>
      <c r="H51" s="16" t="inlineStr">
        <is>
          <t>RSS (выставки) + HTML (события)</t>
        </is>
      </c>
      <c r="I51" s="16" t="inlineStr">
        <is>
          <t>Еженедельно</t>
        </is>
      </c>
      <c r="J51" s="16" t="n">
        <v>1</v>
      </c>
      <c r="K51" s="16" t="inlineStr">
        <is>
          <t>да</t>
        </is>
      </c>
      <c r="L51" s="16" t="inlineStr">
        <is>
          <t>v0.4: Atom-фид выставок (20 записей); события — HTML /events; /whats-on — 404</t>
        </is>
      </c>
      <c r="M51" s="10" t="inlineStr">
        <is>
          <t>https://fitzmuseum.cam.ac.uk/feeds/exhibitions</t>
        </is>
      </c>
      <c r="N51" s="10" t="inlineStr">
        <is>
          <t>разрешено</t>
        </is>
      </c>
      <c r="O51" s="10" t="inlineStr">
        <is>
          <t>2026-09-27</t>
        </is>
      </c>
      <c r="P51" s="10" t="inlineStr">
        <is>
          <t>события ведут к: продавец не определён — 2 соб.</t>
        </is>
      </c>
    </row>
    <row r="52" ht="15" customHeight="1" s="11">
      <c r="A52" s="30" t="inlineStr">
        <is>
          <t>S051</t>
        </is>
      </c>
      <c r="B52" s="16" t="inlineStr">
        <is>
          <t>Выставки и музеи</t>
        </is>
      </c>
      <c r="C52" s="16" t="inlineStr">
        <is>
          <t>Kettle's Yard</t>
        </is>
      </c>
      <c r="D52" s="16" t="inlineStr">
        <is>
          <t>Площадка</t>
        </is>
      </c>
      <c r="E52" s="16" t="inlineStr">
        <is>
          <t>https://www.kettlesyard.cam.ac.uk/whats-on/</t>
        </is>
      </c>
      <c r="F52" s="16" t="inlineStr">
        <is>
          <t>Современное искусство, концерты, воркшопы</t>
        </is>
      </c>
      <c r="G52" s="16" t="inlineStr">
        <is>
          <t>Центр</t>
        </is>
      </c>
      <c r="H52" s="16" t="inlineStr">
        <is>
          <t>HTML</t>
        </is>
      </c>
      <c r="I52" s="16" t="inlineStr">
        <is>
          <t>Еженедельно</t>
        </is>
      </c>
      <c r="J52" s="16" t="n">
        <v>1</v>
      </c>
      <c r="K52" s="16" t="inlineStr">
        <is>
          <t>да</t>
        </is>
      </c>
      <c r="L52" s="16" t="inlineStr">
        <is>
          <t>Этап 5: подключён — приоритет 1, коллектора не было: HTML страниц событий (контрольный пример этапа 5)</t>
        </is>
      </c>
      <c r="M52" s="10" t="inlineStr">
        <is>
          <t>https://www.kettlesyard.cam.ac.uk/whats-on/</t>
        </is>
      </c>
      <c r="N52" s="10" t="inlineStr">
        <is>
          <t>разрешено</t>
        </is>
      </c>
      <c r="O52" s="10" t="inlineStr">
        <is>
          <t>2026-09-28</t>
        </is>
      </c>
      <c r="P52" s="10" t="inlineStr">
        <is>
          <t>события ведут к: DigiTickets — 3 соб.: программа есть</t>
        </is>
      </c>
    </row>
    <row r="53" ht="15" customHeight="1" s="11">
      <c r="A53" s="30" t="inlineStr">
        <is>
          <t>S052</t>
        </is>
      </c>
      <c r="B53" s="16" t="inlineStr">
        <is>
          <t>Выставки и музеи</t>
        </is>
      </c>
      <c r="C53" s="16" t="inlineStr">
        <is>
          <t>University of Cambridge Museums (сводный)</t>
        </is>
      </c>
      <c r="D53" s="16" t="inlineStr">
        <is>
          <t>Агрегатор</t>
        </is>
      </c>
      <c r="E53" s="16" t="inlineStr">
        <is>
          <t>https://www.museums.cam.ac.uk/whats-on</t>
        </is>
      </c>
      <c r="F53" s="16" t="inlineStr">
        <is>
          <t>Все университетские музеи, включая семейные</t>
        </is>
      </c>
      <c r="G53" s="16" t="inlineStr">
        <is>
          <t>Центр</t>
        </is>
      </c>
      <c r="H53" s="16" t="inlineStr">
        <is>
          <t>HTML</t>
        </is>
      </c>
      <c r="I53" s="16" t="inlineStr">
        <is>
          <t>Еженедельно</t>
        </is>
      </c>
      <c r="J53" s="16" t="n">
        <v>1</v>
      </c>
      <c r="K53" s="16" t="inlineStr">
        <is>
          <t>да</t>
        </is>
      </c>
      <c r="L53" s="16" t="inlineStr">
        <is>
          <t>v0.4: сводная афиша 8 музеев (Drupal), фидов и JSON-LD нет — HTML Этап 6: подключён — сводная афиша 8 музеев (HTML, один запрос на весь список) + 4 запроса по фильтрам «для кого»/«тип» → категория family по разметке музеев</t>
        </is>
      </c>
      <c r="M53" s="10" t="inlineStr">
        <is>
          <t>https://www.museums.cam.ac.uk/whats-on</t>
        </is>
      </c>
      <c r="N53" s="10" t="inlineStr">
        <is>
          <t>разрешено</t>
        </is>
      </c>
      <c r="O53" s="10" t="inlineStr">
        <is>
          <t>2026-09-28</t>
        </is>
      </c>
      <c r="P53" s="10" t="inlineStr">
        <is>
          <t>события ведут к: продавец не определён — 13 соб.; DigiTickets — 8 соб.: программа есть; Eventbrite — 5 соб.: программа есть</t>
        </is>
      </c>
    </row>
    <row r="54" ht="15" customHeight="1" s="11">
      <c r="A54" s="31" t="inlineStr">
        <is>
          <t>S053</t>
        </is>
      </c>
      <c r="B54" s="16" t="inlineStr">
        <is>
          <t>Выставки и музеи</t>
        </is>
      </c>
      <c r="C54" s="16" t="inlineStr">
        <is>
          <t>IWM Duxford</t>
        </is>
      </c>
      <c r="D54" s="16" t="inlineStr">
        <is>
          <t>Площадка</t>
        </is>
      </c>
      <c r="E54" s="17" t="n"/>
      <c r="F54" s="16" t="inlineStr">
        <is>
          <t>Авиашоу и события</t>
        </is>
      </c>
      <c r="G54" s="16" t="inlineStr">
        <is>
          <t>30 мин</t>
        </is>
      </c>
      <c r="H54" s="16" t="inlineStr">
        <is>
          <t>HTML</t>
        </is>
      </c>
      <c r="I54" s="16" t="inlineStr">
        <is>
          <t>Еженедельно</t>
        </is>
      </c>
      <c r="J54" s="16" t="n">
        <v>2</v>
      </c>
      <c r="K54" s="17" t="inlineStr">
        <is>
          <t>нет</t>
        </is>
      </c>
      <c r="L54" s="16" t="inlineStr">
        <is>
          <t>Этап 5: закрыт — iwm.org.uk — 403 (бот-защита) на все страницы; в Ents24/Skiddle Duxford не найден</t>
        </is>
      </c>
      <c r="N54" s="10" t="inlineStr">
        <is>
          <t>—</t>
        </is>
      </c>
      <c r="O54" s="10" t="inlineStr">
        <is>
          <t>2026-09-28</t>
        </is>
      </c>
      <c r="P54" s="10" t="inlineStr"/>
    </row>
    <row r="55" ht="15" customHeight="1" s="11">
      <c r="A55" s="30" t="inlineStr">
        <is>
          <t>S054</t>
        </is>
      </c>
      <c r="B55" s="16" t="inlineStr">
        <is>
          <t>Детям и семьям</t>
        </is>
      </c>
      <c r="C55" s="16" t="inlineStr">
        <is>
          <t>Cambridge Science Centre</t>
        </is>
      </c>
      <c r="D55" s="16" t="inlineStr">
        <is>
          <t>Площадка</t>
        </is>
      </c>
      <c r="E55" s="17" t="n"/>
      <c r="F55" s="16" t="inlineStr">
        <is>
          <t>Детские научные программы</t>
        </is>
      </c>
      <c r="G55" s="16" t="inlineStr">
        <is>
          <t>Центр</t>
        </is>
      </c>
      <c r="H55" s="16" t="inlineStr">
        <is>
          <t>HTML</t>
        </is>
      </c>
      <c r="I55" s="16" t="inlineStr">
        <is>
          <t>Еженедельно</t>
        </is>
      </c>
      <c r="J55" s="16" t="n">
        <v>2</v>
      </c>
      <c r="K55" s="17" t="inlineStr">
        <is>
          <t>да</t>
        </is>
      </c>
      <c r="L55" s="16" t="inlineStr">
        <is>
          <t>Этап 5: отложен — WordPress, тип записей events без дат в API — нужен разбор HTML (детские события — ценно) Этап 6: подключён — ссылки — из RSS /whats-on/feed/, дата и время — со страницы события; все события — семейные (family)</t>
        </is>
      </c>
      <c r="M55" s="10" t="inlineStr">
        <is>
          <t>https://www.cambridgesciencecentre.org/whats-on/feed/</t>
        </is>
      </c>
      <c r="N55" s="10" t="inlineStr">
        <is>
          <t>разрешено</t>
        </is>
      </c>
      <c r="O55" s="10" t="inlineStr">
        <is>
          <t>2026-09-28</t>
        </is>
      </c>
      <c r="P55" s="10" t="inlineStr">
        <is>
          <t>события ведут к: своя касса (cambridgesciencecentre.org) — 4 соб.: программы нет</t>
        </is>
      </c>
    </row>
    <row r="56" ht="15" customHeight="1" s="11">
      <c r="A56" s="30" t="inlineStr">
        <is>
          <t>S055</t>
        </is>
      </c>
      <c r="B56" s="16" t="inlineStr">
        <is>
          <t>Детям и семьям</t>
        </is>
      </c>
      <c r="C56" s="16" t="inlineStr">
        <is>
          <t>Библиотеки Cambridgeshire</t>
        </is>
      </c>
      <c r="D56" s="16" t="inlineStr">
        <is>
          <t>Организатор</t>
        </is>
      </c>
      <c r="E56" s="17" t="n"/>
      <c r="F56" s="16" t="inlineStr">
        <is>
          <t>Детские чтения, каникулярные программы</t>
        </is>
      </c>
      <c r="G56" s="16" t="inlineStr">
        <is>
          <t>Центр + 30 мин</t>
        </is>
      </c>
      <c r="H56" s="16" t="inlineStr">
        <is>
          <t>HTML</t>
        </is>
      </c>
      <c r="I56" s="16" t="inlineStr">
        <is>
          <t>Еженедельно</t>
        </is>
      </c>
      <c r="J56" s="16" t="n">
        <v>2</v>
      </c>
      <c r="K56" s="17" t="inlineStr">
        <is>
          <t>да</t>
        </is>
      </c>
      <c r="L56" s="16" t="inlineStr">
        <is>
          <t>Этап 5: отложен — Contensis, события библиотек — на сторонних сервисах; нужен разбор Этап 6: подключён — события библиотек — на Eventbrite (страница организатора со страницы совета), JSON-LD страниц событий; серии помечены «recurring series»</t>
        </is>
      </c>
      <c r="M56" s="10" t="inlineStr">
        <is>
          <t>https://www.cambridgeshire.gov.uk/residents/libraries-leisure-culture/libraries</t>
        </is>
      </c>
      <c r="N56" s="10" t="inlineStr">
        <is>
          <t>разрешено</t>
        </is>
      </c>
      <c r="O56" s="10" t="inlineStr">
        <is>
          <t>2026-09-28</t>
        </is>
      </c>
      <c r="P56" s="10" t="inlineStr">
        <is>
          <t>Eventbrite: есть — Eventbrite Affiliate Program (в условиях не указана (обзоры: impact.com))</t>
        </is>
      </c>
    </row>
    <row r="57" ht="15" customHeight="1" s="11">
      <c r="A57" s="16" t="inlineStr">
        <is>
          <t>S056</t>
        </is>
      </c>
      <c r="B57" s="16" t="inlineStr">
        <is>
          <t>Детям и семьям</t>
        </is>
      </c>
      <c r="C57" s="16" t="inlineStr">
        <is>
          <t>Семейные программы музеев</t>
        </is>
      </c>
      <c r="D57" s="16" t="inlineStr">
        <is>
          <t>Агрегатор</t>
        </is>
      </c>
      <c r="E57" s="18" t="n"/>
      <c r="F57" s="16" t="inlineStr">
        <is>
          <t>См. University of Cambridge Museums</t>
        </is>
      </c>
      <c r="G57" s="16" t="inlineStr">
        <is>
          <t>Центр</t>
        </is>
      </c>
      <c r="H57" s="16" t="inlineStr">
        <is>
          <t>Производный (тег «дети»)</t>
        </is>
      </c>
      <c r="I57" s="16" t="inlineStr">
        <is>
          <t>—</t>
        </is>
      </c>
      <c r="J57" s="16" t="n">
        <v>1</v>
      </c>
      <c r="K57" s="18" t="inlineStr">
        <is>
          <t>—</t>
        </is>
      </c>
      <c r="L57" s="16" t="inlineStr">
        <is>
          <t>Тегировать «дети» из музейных источников. v0.4: отдельного сайта нет: тегировать «дети» события из S050, S051, S052, S069 Этап 6: производный — тег «дети» из музейных источников — теперь по разметке S052/S048/S001 (категория family) и KIDS_RE</t>
        </is>
      </c>
      <c r="N57" s="10" t="inlineStr">
        <is>
          <t>—</t>
        </is>
      </c>
      <c r="O57" s="10" t="inlineStr">
        <is>
          <t>2026-09-28</t>
        </is>
      </c>
      <c r="P57" s="10" t="inlineStr"/>
    </row>
    <row r="58" ht="15" customHeight="1" s="11">
      <c r="A58" s="16" t="inlineStr">
        <is>
          <t>S057</t>
        </is>
      </c>
      <c r="B58" s="16" t="inlineStr">
        <is>
          <t>Еда и напитки</t>
        </is>
      </c>
      <c r="C58" s="16" t="inlineStr">
        <is>
          <t>Eat Cambridge</t>
        </is>
      </c>
      <c r="D58" s="16" t="inlineStr">
        <is>
          <t>Организатор</t>
        </is>
      </c>
      <c r="E58" s="17" t="n"/>
      <c r="F58" s="16" t="inlineStr">
        <is>
          <t>Фуд-фестиваль и сопутствующие события</t>
        </is>
      </c>
      <c r="G58" s="16" t="inlineStr">
        <is>
          <t>Центр</t>
        </is>
      </c>
      <c r="H58" s="16" t="inlineStr">
        <is>
          <t>HTML</t>
        </is>
      </c>
      <c r="I58" s="16" t="inlineStr">
        <is>
          <t>Сезонно</t>
        </is>
      </c>
      <c r="J58" s="16" t="n">
        <v>2</v>
      </c>
      <c r="K58" s="17" t="inlineStr">
        <is>
          <t>да</t>
        </is>
      </c>
      <c r="L58" s="16" t="inlineStr">
        <is>
          <t>Этап 5: ежегодное — фестиваль в мае; фид — 3 записи</t>
        </is>
      </c>
      <c r="M58" s="10" t="inlineStr">
        <is>
          <t>https://eat-cambridge.co.uk/feed/</t>
        </is>
      </c>
      <c r="N58" s="10" t="inlineStr">
        <is>
          <t>разрешено</t>
        </is>
      </c>
      <c r="O58" s="10" t="inlineStr">
        <is>
          <t>2026-09-28</t>
        </is>
      </c>
      <c r="P58" s="10" t="inlineStr"/>
    </row>
    <row r="59" ht="23.85" customHeight="1" s="11">
      <c r="A59" s="16" t="inlineStr">
        <is>
          <t>S058</t>
        </is>
      </c>
      <c r="B59" s="16" t="inlineStr">
        <is>
          <t>Еда и напитки</t>
        </is>
      </c>
      <c r="C59" s="16" t="inlineStr">
        <is>
          <t>Открытия ресторанов</t>
        </is>
      </c>
      <c r="D59" s="16" t="inlineStr">
        <is>
          <t>СМИ</t>
        </is>
      </c>
      <c r="E59" s="17" t="n"/>
      <c r="F59" s="16" t="inlineStr">
        <is>
          <t>Через Cambridge Independent / Cambridge News</t>
        </is>
      </c>
      <c r="G59" s="16" t="inlineStr">
        <is>
          <t>Центр</t>
        </is>
      </c>
      <c r="H59" s="16" t="inlineStr">
        <is>
          <t>RSS СМИ</t>
        </is>
      </c>
      <c r="I59" s="16" t="inlineStr">
        <is>
          <t>Еженедельно</t>
        </is>
      </c>
      <c r="J59" s="16" t="n">
        <v>2</v>
      </c>
      <c r="K59" s="17" t="inlineStr">
        <is>
          <t>—</t>
        </is>
      </c>
      <c r="L59" s="16" t="inlineStr">
        <is>
          <t>Этап 5: не нужен — производный источник: открытия через S092/S093 (извлечение из статей)</t>
        </is>
      </c>
      <c r="N59" s="10" t="inlineStr">
        <is>
          <t>—</t>
        </is>
      </c>
      <c r="O59" s="10" t="inlineStr">
        <is>
          <t>2026-09-28</t>
        </is>
      </c>
      <c r="P59" s="10" t="inlineStr"/>
    </row>
    <row r="60" ht="15" customHeight="1" s="11">
      <c r="A60" s="16" t="inlineStr">
        <is>
          <t>S059</t>
        </is>
      </c>
      <c r="B60" s="16" t="inlineStr">
        <is>
          <t>Рынки и барахолки</t>
        </is>
      </c>
      <c r="C60" s="16" t="inlineStr">
        <is>
          <t>Cambridge Market (Market Square)</t>
        </is>
      </c>
      <c r="D60" s="16" t="inlineStr">
        <is>
          <t>Площадка</t>
        </is>
      </c>
      <c r="E60" s="16" t="inlineStr">
        <is>
          <t>https://www.cambridge.gov.uk</t>
        </is>
      </c>
      <c r="F60" s="16" t="inlineStr">
        <is>
          <t>Ежедневный рынок, воскресный фермерский</t>
        </is>
      </c>
      <c r="G60" s="16" t="inlineStr">
        <is>
          <t>Центр</t>
        </is>
      </c>
      <c r="H60" s="16" t="inlineStr">
        <is>
          <t>Ручной (стабильное расписание)</t>
        </is>
      </c>
      <c r="I60" s="16" t="inlineStr">
        <is>
          <t>Ежемесячно</t>
        </is>
      </c>
      <c r="J60" s="16" t="n">
        <v>3</v>
      </c>
      <c r="K60" s="17" t="inlineStr">
        <is>
          <t>—</t>
        </is>
      </c>
      <c r="L60" s="16" t="inlineStr">
        <is>
          <t>Этап 6: не нужен — Cambridge Market — ежедневный рынок, стабильное расписание: справочник, не событие</t>
        </is>
      </c>
      <c r="O60" s="10" t="inlineStr">
        <is>
          <t>2026-09-28</t>
        </is>
      </c>
      <c r="P60" s="10" t="inlineStr"/>
    </row>
    <row r="61" ht="15" customHeight="1" s="11">
      <c r="A61" s="16" t="inlineStr">
        <is>
          <t>S060</t>
        </is>
      </c>
      <c r="B61" s="16" t="inlineStr">
        <is>
          <t>Рынки и барахолки</t>
        </is>
      </c>
      <c r="C61" s="16" t="inlineStr">
        <is>
          <t>All Saints Garden Art &amp; Craft Market</t>
        </is>
      </c>
      <c r="D61" s="16" t="inlineStr">
        <is>
          <t>Площадка</t>
        </is>
      </c>
      <c r="E61" s="17" t="n"/>
      <c r="F61" s="16" t="inlineStr">
        <is>
          <t>Рынок местных мастеров</t>
        </is>
      </c>
      <c r="G61" s="16" t="inlineStr">
        <is>
          <t>Центр</t>
        </is>
      </c>
      <c r="H61" s="16" t="inlineStr">
        <is>
          <t>Ручной</t>
        </is>
      </c>
      <c r="I61" s="16" t="inlineStr">
        <is>
          <t>Ежемесячно</t>
        </is>
      </c>
      <c r="J61" s="16" t="n">
        <v>3</v>
      </c>
      <c r="K61" s="17" t="inlineStr">
        <is>
          <t>—</t>
        </is>
      </c>
      <c r="L61" s="16" t="inlineStr">
        <is>
          <t>Этап 6: не нужен — All Saints Garden Art &amp; Craft Market — регулярный (суббота), справочник</t>
        </is>
      </c>
      <c r="O61" s="10" t="inlineStr">
        <is>
          <t>2026-09-28</t>
        </is>
      </c>
      <c r="P61" s="10" t="inlineStr"/>
    </row>
    <row r="62" ht="15" customHeight="1" s="11">
      <c r="A62" s="16" t="inlineStr">
        <is>
          <t>S061</t>
        </is>
      </c>
      <c r="B62" s="16" t="inlineStr">
        <is>
          <t>Рынки и барахолки</t>
        </is>
      </c>
      <c r="C62" s="16" t="inlineStr">
        <is>
          <t>Car boot sales в округе</t>
        </is>
      </c>
      <c r="D62" s="16" t="inlineStr">
        <is>
          <t>Агрегатор</t>
        </is>
      </c>
      <c r="E62" s="17" t="n"/>
      <c r="F62" s="16" t="inlineStr">
        <is>
          <t>Воскресные барахолки</t>
        </is>
      </c>
      <c r="G62" s="16" t="inlineStr">
        <is>
          <t>30 мин</t>
        </is>
      </c>
      <c r="H62" s="16" t="inlineStr">
        <is>
          <t>HTML агрегатора (найти)</t>
        </is>
      </c>
      <c r="I62" s="16" t="inlineStr">
        <is>
          <t>Еженедельно</t>
        </is>
      </c>
      <c r="J62" s="16" t="n">
        <v>3</v>
      </c>
      <c r="K62" s="17" t="inlineStr">
        <is>
          <t>—</t>
        </is>
      </c>
      <c r="L62" s="16" t="inlineStr">
        <is>
          <t>Этап 6: не нужен — car boot sales — агрегатора с разрешающим robots.txt не нашлось; регулярные — справочник</t>
        </is>
      </c>
      <c r="O62" s="10" t="inlineStr">
        <is>
          <t>2026-09-28</t>
        </is>
      </c>
      <c r="P62" s="10" t="inlineStr"/>
    </row>
    <row r="63" ht="15" customHeight="1" s="11">
      <c r="A63" s="16" t="inlineStr">
        <is>
          <t>S062</t>
        </is>
      </c>
      <c r="B63" s="16" t="inlineStr">
        <is>
          <t>Комедия и стендап</t>
        </is>
      </c>
      <c r="C63" s="16" t="inlineStr">
        <is>
          <t>Комедия на Corn Exchange / Junction / ADC</t>
        </is>
      </c>
      <c r="D63" s="16" t="inlineStr">
        <is>
          <t>Площадка</t>
        </is>
      </c>
      <c r="E63" s="18" t="n"/>
      <c r="F63" s="16" t="inlineStr">
        <is>
          <t>См. площадки</t>
        </is>
      </c>
      <c r="G63" s="16" t="inlineStr">
        <is>
          <t>Центр</t>
        </is>
      </c>
      <c r="H63" s="16" t="inlineStr">
        <is>
          <t>Производный (тег «комедия»)</t>
        </is>
      </c>
      <c r="I63" s="16" t="inlineStr">
        <is>
          <t>—</t>
        </is>
      </c>
      <c r="J63" s="16" t="n">
        <v>1</v>
      </c>
      <c r="K63" s="18" t="inlineStr">
        <is>
          <t>—</t>
        </is>
      </c>
      <c r="L63" s="16" t="inlineStr">
        <is>
          <t>Тегировать «комедия» из этих источников. v0.4: отдельного сайта нет: тегировать «комедия» события из S011, S012, S042 (+ Ents24 ComedyEvent) Этап 6: производный — тег «комедия» из S011, S012, S042</t>
        </is>
      </c>
      <c r="N63" s="10" t="inlineStr">
        <is>
          <t>—</t>
        </is>
      </c>
      <c r="O63" s="10" t="inlineStr">
        <is>
          <t>2026-09-28</t>
        </is>
      </c>
      <c r="P63" s="10" t="inlineStr"/>
    </row>
    <row r="64" ht="23.85" customHeight="1" s="11">
      <c r="A64" s="16" t="inlineStr">
        <is>
          <t>S063</t>
        </is>
      </c>
      <c r="B64" s="16" t="inlineStr">
        <is>
          <t>Ночная жизнь</t>
        </is>
      </c>
      <c r="C64" s="16" t="inlineStr">
        <is>
          <t>Resident Advisor / Skiddle — клубные события</t>
        </is>
      </c>
      <c r="D64" s="16" t="inlineStr">
        <is>
          <t>Агрегатор</t>
        </is>
      </c>
      <c r="E64" s="17" t="n"/>
      <c r="F64" s="16" t="inlineStr">
        <is>
          <t>Клубные вечера</t>
        </is>
      </c>
      <c r="G64" s="16" t="inlineStr">
        <is>
          <t>Центр</t>
        </is>
      </c>
      <c r="H64" s="16" t="inlineStr">
        <is>
          <t>HTML / API Skiddle</t>
        </is>
      </c>
      <c r="I64" s="16" t="inlineStr">
        <is>
          <t>Еженедельно</t>
        </is>
      </c>
      <c r="J64" s="16" t="n">
        <v>3</v>
      </c>
      <c r="K64" s="17" t="inlineStr">
        <is>
          <t>нет</t>
        </is>
      </c>
      <c r="L64" s="16" t="inlineStr">
        <is>
          <t>Этап 6: покрыт — Resident Advisor — 403; клубные события — Skiddle (S007, S129)</t>
        </is>
      </c>
      <c r="O64" s="10" t="inlineStr">
        <is>
          <t>2026-09-28</t>
        </is>
      </c>
      <c r="P64" s="10" t="inlineStr"/>
    </row>
    <row r="65" ht="15" customHeight="1" s="11">
      <c r="A65" s="16" t="inlineStr">
        <is>
          <t>S064</t>
        </is>
      </c>
      <c r="B65" s="16" t="inlineStr">
        <is>
          <t>Ночная жизнь</t>
        </is>
      </c>
      <c r="C65" s="16" t="inlineStr">
        <is>
          <t>Квизы в пабах</t>
        </is>
      </c>
      <c r="D65" s="16" t="inlineStr">
        <is>
          <t>—</t>
        </is>
      </c>
      <c r="E65" s="17" t="n"/>
      <c r="F65" s="16" t="inlineStr">
        <is>
          <t>Регулярные квизы</t>
        </is>
      </c>
      <c r="G65" s="16" t="inlineStr">
        <is>
          <t>Центр</t>
        </is>
      </c>
      <c r="H65" s="16" t="inlineStr">
        <is>
          <t>Ручной (стабильные)</t>
        </is>
      </c>
      <c r="I65" s="16" t="inlineStr">
        <is>
          <t>Ежемесячно</t>
        </is>
      </c>
      <c r="J65" s="16" t="n">
        <v>3</v>
      </c>
      <c r="K65" s="17" t="inlineStr">
        <is>
          <t>—</t>
        </is>
      </c>
      <c r="L65" s="16" t="inlineStr">
        <is>
          <t>Скорее справочник, чем лента Этап 6: не нужен — квизы в пабах — справочник, не лента событий</t>
        </is>
      </c>
      <c r="O65" s="10" t="inlineStr">
        <is>
          <t>2026-09-28</t>
        </is>
      </c>
      <c r="P65" s="10" t="inlineStr"/>
    </row>
    <row r="66" ht="23.85" customHeight="1" s="11">
      <c r="A66" s="16" t="inlineStr">
        <is>
          <t>S065</t>
        </is>
      </c>
      <c r="B66" s="16" t="inlineStr">
        <is>
          <t>Открытые двери и экскурсии</t>
        </is>
      </c>
      <c r="C66" s="16" t="inlineStr">
        <is>
          <t>Open Cambridge</t>
        </is>
      </c>
      <c r="D66" s="16" t="inlineStr">
        <is>
          <t>Организатор</t>
        </is>
      </c>
      <c r="E66" s="16" t="inlineStr">
        <is>
          <t>https://www.opencambridge.cam.ac.uk/</t>
        </is>
      </c>
      <c r="F66" s="16" t="inlineStr">
        <is>
          <t>Открытые двери, сентябрь</t>
        </is>
      </c>
      <c r="G66" s="16" t="inlineStr">
        <is>
          <t>Центр</t>
        </is>
      </c>
      <c r="H66" s="16" t="inlineStr">
        <is>
          <t>HTML (curl, пауза 10 с)</t>
        </is>
      </c>
      <c r="I66" s="16" t="inlineStr">
        <is>
          <t>Ежегодно</t>
        </is>
      </c>
      <c r="J66" s="16" t="n">
        <v>1</v>
      </c>
      <c r="K66" s="16" t="inlineStr">
        <is>
          <t>да</t>
        </is>
      </c>
      <c r="L66" s="16" t="inlineStr">
        <is>
          <t>Часть Heritage Open Days. v0.4: решение после этапа 1: curl с честным User-Agent и паузой 10 с; ежегодно (сентябрь), часть Heritage Open Days Этап 6: ежегодное — через recurring_events (R12)</t>
        </is>
      </c>
      <c r="M66" s="10" t="inlineStr">
        <is>
          <t>https://www.opencambridge.cam.ac.uk/</t>
        </is>
      </c>
      <c r="N66" s="10" t="inlineStr">
        <is>
          <t>разрешено, Crawl-delay 10</t>
        </is>
      </c>
      <c r="O66" s="10" t="inlineStr">
        <is>
          <t>2026-09-28</t>
        </is>
      </c>
      <c r="P66" s="10" t="inlineStr"/>
    </row>
    <row r="67" ht="23.85" customHeight="1" s="11">
      <c r="A67" s="16" t="inlineStr">
        <is>
          <t>S066</t>
        </is>
      </c>
      <c r="B67" s="16" t="inlineStr">
        <is>
          <t>Открытые двери и экскурсии</t>
        </is>
      </c>
      <c r="C67" s="16" t="inlineStr">
        <is>
          <t>Heritage Open Days</t>
        </is>
      </c>
      <c r="D67" s="16" t="inlineStr">
        <is>
          <t>Агрегатор</t>
        </is>
      </c>
      <c r="E67" s="17" t="n"/>
      <c r="F67" s="16" t="inlineStr">
        <is>
          <t>Национальная программа открытых дверей</t>
        </is>
      </c>
      <c r="G67" s="16" t="inlineStr">
        <is>
          <t>Центр + час</t>
        </is>
      </c>
      <c r="H67" s="16" t="inlineStr">
        <is>
          <t>HTML (поиск по региону)</t>
        </is>
      </c>
      <c r="I67" s="16" t="inlineStr">
        <is>
          <t>Сезонно</t>
        </is>
      </c>
      <c r="J67" s="16" t="n">
        <v>2</v>
      </c>
      <c r="K67" s="17" t="inlineStr">
        <is>
          <t>да</t>
        </is>
      </c>
      <c r="L67" s="16" t="inlineStr">
        <is>
          <t>Этап 5: ежегодное — Heritage Open Days — сентябрь; поиск по региону в HTML</t>
        </is>
      </c>
      <c r="M67" s="10" t="inlineStr">
        <is>
          <t>https://www.heritageopendays.org.uk</t>
        </is>
      </c>
      <c r="N67" s="10" t="inlineStr">
        <is>
          <t>разрешено</t>
        </is>
      </c>
      <c r="O67" s="10" t="inlineStr">
        <is>
          <t>2026-09-28</t>
        </is>
      </c>
      <c r="P67" s="10" t="inlineStr"/>
    </row>
    <row r="68" ht="23.85" customHeight="1" s="11">
      <c r="A68" s="18" t="inlineStr">
        <is>
          <t>S067</t>
        </is>
      </c>
      <c r="B68" s="16" t="inlineStr">
        <is>
          <t>Открытые двери и экскурсии</t>
        </is>
      </c>
      <c r="C68" s="16" t="inlineStr">
        <is>
          <t>National Garden Scheme</t>
        </is>
      </c>
      <c r="D68" s="16" t="inlineStr">
        <is>
          <t>Агрегатор</t>
        </is>
      </c>
      <c r="E68" s="17" t="inlineStr">
        <is>
          <t>https://findagarden.ngs.org.uk</t>
        </is>
      </c>
      <c r="F68" s="16" t="inlineStr">
        <is>
          <t>Частные сады, открытые для посещения</t>
        </is>
      </c>
      <c r="G68" s="16" t="inlineStr">
        <is>
          <t>30 мин + час</t>
        </is>
      </c>
      <c r="H68" s="16" t="inlineStr">
        <is>
          <t>JSON (API приложения)</t>
        </is>
      </c>
      <c r="I68" s="16" t="inlineStr">
        <is>
          <t>Ежедневно</t>
        </is>
      </c>
      <c r="J68" s="16" t="n">
        <v>2</v>
      </c>
      <c r="K68" s="17" t="inlineStr">
        <is>
          <t>да</t>
        </is>
      </c>
      <c r="L68" s="16" t="inlineStr">
        <is>
          <t>Этап 5: отложен — findagarden.ngs.org.uk — сезон весна–лето; разбор HTML Этап 6: отложен — NGS (открытые сады): приложение findagarden на скриптах; сезон апрель–сентябрь — проверить API весной Этап 7b: подключён — открытый API приложения findagarden (robots.txt разрешает): сады Кембриджшира и в 75 км, открытия с датой и ценой; подряд идущие дни — одним событием (Robinson College — ежедневно до 22 декабря).</t>
        </is>
      </c>
      <c r="M68" s="10" t="inlineStr">
        <is>
          <t>https://api.findagarden.ngs.org.uk/api/gardens</t>
        </is>
      </c>
      <c r="N68" s="10" t="inlineStr">
        <is>
          <t>разрешено</t>
        </is>
      </c>
      <c r="O68" s="10" t="inlineStr">
        <is>
          <t>2026-09-30</t>
        </is>
      </c>
      <c r="P68" s="10" t="inlineStr"/>
    </row>
    <row r="69" ht="23.85" customHeight="1" s="11">
      <c r="A69" s="18" t="inlineStr">
        <is>
          <t>S068</t>
        </is>
      </c>
      <c r="B69" s="16" t="inlineStr">
        <is>
          <t>Открытые двери и экскурсии</t>
        </is>
      </c>
      <c r="C69" s="16" t="inlineStr">
        <is>
          <t>Колледжи — дни открытых дверей и туры</t>
        </is>
      </c>
      <c r="D69" s="16" t="inlineStr">
        <is>
          <t>Организатор</t>
        </is>
      </c>
      <c r="E69" s="17" t="n"/>
      <c r="F69" s="16" t="inlineStr">
        <is>
          <t>Посещения колледжей</t>
        </is>
      </c>
      <c r="G69" s="16" t="inlineStr">
        <is>
          <t>Центр</t>
        </is>
      </c>
      <c r="H69" s="16" t="inlineStr">
        <is>
          <t>Ручной</t>
        </is>
      </c>
      <c r="I69" s="16" t="inlineStr">
        <is>
          <t>Сезонно</t>
        </is>
      </c>
      <c r="J69" s="16" t="n">
        <v>3</v>
      </c>
      <c r="K69" s="17" t="inlineStr">
        <is>
          <t>—</t>
        </is>
      </c>
      <c r="L69" s="16" t="inlineStr">
        <is>
          <t>Этап 6: вручную — дни открытых дверей колледжей — Open Cambridge (R12) и University What's On (S048)</t>
        </is>
      </c>
      <c r="O69" s="10" t="inlineStr">
        <is>
          <t>2026-09-28</t>
        </is>
      </c>
      <c r="P69" s="10" t="inlineStr"/>
    </row>
    <row r="70" ht="23.85" customHeight="1" s="11">
      <c r="A70" s="30" t="inlineStr">
        <is>
          <t>S069</t>
        </is>
      </c>
      <c r="B70" s="16" t="inlineStr">
        <is>
          <t>Природа и загородные поездки</t>
        </is>
      </c>
      <c r="C70" s="16" t="inlineStr">
        <is>
          <t>Cambridge University Botanic Garden</t>
        </is>
      </c>
      <c r="D70" s="16" t="inlineStr">
        <is>
          <t>Площадка</t>
        </is>
      </c>
      <c r="E70" s="16" t="inlineStr">
        <is>
          <t>https://www.botanic.cam.ac.uk</t>
        </is>
      </c>
      <c r="F70" s="16" t="inlineStr">
        <is>
          <t>События, сезонные экскурсии</t>
        </is>
      </c>
      <c r="G70" s="16" t="inlineStr">
        <is>
          <t>Центр</t>
        </is>
      </c>
      <c r="H70" s="16" t="inlineStr">
        <is>
          <t>HTML</t>
        </is>
      </c>
      <c r="I70" s="16" t="inlineStr">
        <is>
          <t>Еженедельно</t>
        </is>
      </c>
      <c r="J70" s="16" t="n">
        <v>1</v>
      </c>
      <c r="K70" s="16" t="inlineStr">
        <is>
          <t>да</t>
        </is>
      </c>
      <c r="L70" s="16" t="inlineStr">
        <is>
          <t>v0.4: WordPress, фида событий нет; REST закрыт (401) Этап 6: подключён — HTML /whats-on/ + страницы событий; часть событий есть и в S052</t>
        </is>
      </c>
      <c r="M70" s="10" t="inlineStr">
        <is>
          <t>https://www.botanic.cam.ac.uk/whats-on/</t>
        </is>
      </c>
      <c r="N70" s="10" t="inlineStr">
        <is>
          <t>разрешено</t>
        </is>
      </c>
      <c r="O70" s="10" t="inlineStr">
        <is>
          <t>2026-09-28</t>
        </is>
      </c>
      <c r="P70" s="10" t="inlineStr">
        <is>
          <t>события ведут к: Ticket Tailor — 2 соб.: программы нет; своя касса (botanic.cam.ac.uk) — 1 соб.: программы нет</t>
        </is>
      </c>
    </row>
    <row r="71" ht="23.85" customHeight="1" s="11">
      <c r="A71" s="18" t="inlineStr">
        <is>
          <t>S070</t>
        </is>
      </c>
      <c r="B71" s="16" t="inlineStr">
        <is>
          <t>Природа и загородные поездки</t>
        </is>
      </c>
      <c r="C71" s="16" t="inlineStr">
        <is>
          <t>National Trust: Wimpole, Anglesey Abbey, Wicken Fen</t>
        </is>
      </c>
      <c r="D71" s="16" t="inlineStr">
        <is>
          <t>Площадка</t>
        </is>
      </c>
      <c r="E71" s="18" t="inlineStr">
        <is>
          <t>https://www.nationaltrust.org.uk/visit/cambridgeshire/wimpole-estate/events</t>
        </is>
      </c>
      <c r="F71" s="16" t="inlineStr">
        <is>
          <t>Сезонные события, фестивали огней, детские программы</t>
        </is>
      </c>
      <c r="G71" s="16" t="inlineStr">
        <is>
          <t>30 мин</t>
        </is>
      </c>
      <c r="H71" s="16" t="inlineStr">
        <is>
          <t>Ручной сезонный</t>
        </is>
      </c>
      <c r="I71" s="16" t="inlineStr">
        <is>
          <t>Еженедельно</t>
        </is>
      </c>
      <c r="J71" s="16" t="n">
        <v>1</v>
      </c>
      <c r="K71" s="18" t="inlineStr">
        <is>
          <t>нет</t>
        </is>
      </c>
      <c r="L71" s="16" t="inlineStr">
        <is>
          <t>v0.4: решение после этапа 1: защиту Radware не обходим; вносить вручную по сезонам (Wimpole, Anglesey Abbey, Wicken Fen) Этап 6: вручную — National Trust — защита Radware; ручной сезонный календарь</t>
        </is>
      </c>
      <c r="M71" s="10" t="inlineStr">
        <is>
          <t>https://www.nationaltrust.org.uk/visit/cambridgeshire/wimpole-estate/events</t>
        </is>
      </c>
      <c r="N71" s="10" t="inlineStr">
        <is>
          <t>разрешено</t>
        </is>
      </c>
      <c r="O71" s="10" t="inlineStr">
        <is>
          <t>2026-09-28</t>
        </is>
      </c>
      <c r="P71" s="10" t="inlineStr">
        <is>
          <t>National Trust: есть — но на членство, магазин и отдых (Awin: Memberships 3795, Shop 3974, Holidays 12045); билеты на события — не указаны (Awin)</t>
        </is>
      </c>
    </row>
    <row r="72" ht="23.85" customHeight="1" s="11">
      <c r="A72" s="30" t="inlineStr">
        <is>
          <t>S071</t>
        </is>
      </c>
      <c r="B72" s="16" t="inlineStr">
        <is>
          <t>Природа и загородные поездки</t>
        </is>
      </c>
      <c r="C72" s="16" t="inlineStr">
        <is>
          <t>Ely Cathedral</t>
        </is>
      </c>
      <c r="D72" s="16" t="inlineStr">
        <is>
          <t>Площадка</t>
        </is>
      </c>
      <c r="E72" s="17" t="n"/>
      <c r="F72" s="16" t="inlineStr">
        <is>
          <t>Концерты, рынки, сезонные события</t>
        </is>
      </c>
      <c r="G72" s="16" t="inlineStr">
        <is>
          <t>30 мин</t>
        </is>
      </c>
      <c r="H72" s="16" t="inlineStr">
        <is>
          <t>HTML</t>
        </is>
      </c>
      <c r="I72" s="16" t="inlineStr">
        <is>
          <t>Еженедельно</t>
        </is>
      </c>
      <c r="J72" s="16" t="n">
        <v>2</v>
      </c>
      <c r="K72" s="17" t="inlineStr">
        <is>
          <t>да</t>
        </is>
      </c>
      <c r="L72" s="16" t="inlineStr">
        <is>
          <t>Этап 5: отложен — Spektrix без JSON-LD; часть концертов уже из Ents24/Skiddle (S128/S129) и Eventbrite Этап 6: подключён — Ely Cathedral: карточки /events (дата + название), один запрос; отложен в P2 на этапе 5</t>
        </is>
      </c>
      <c r="M72" s="10" t="inlineStr">
        <is>
          <t>https://www.elycathedral.org</t>
        </is>
      </c>
      <c r="N72" s="10" t="inlineStr">
        <is>
          <t>разрешено</t>
        </is>
      </c>
      <c r="O72" s="10" t="inlineStr">
        <is>
          <t>2026-09-28</t>
        </is>
      </c>
      <c r="P72" s="10" t="inlineStr">
        <is>
          <t>события ведут к: Spektrix (касса площадки) — 3 соб.: программы нет; Eventbrite — 1 соб.: программа есть</t>
        </is>
      </c>
    </row>
    <row r="73" ht="23.85" customHeight="1" s="11">
      <c r="A73" s="16" t="inlineStr">
        <is>
          <t>S072</t>
        </is>
      </c>
      <c r="B73" s="16" t="inlineStr">
        <is>
          <t>Праздники и сезонное</t>
        </is>
      </c>
      <c r="C73" s="16" t="inlineStr">
        <is>
          <t>Cambridge City Council — городские события</t>
        </is>
      </c>
      <c r="D73" s="16" t="inlineStr">
        <is>
          <t>Организатор</t>
        </is>
      </c>
      <c r="E73" s="16" t="inlineStr">
        <is>
          <t>https://www.camcityevents.co.uk/events</t>
        </is>
      </c>
      <c r="F73" s="16" t="inlineStr">
        <is>
          <t>Фейерверки на Midsummer Common, рождественские огни, Midsummer Fair</t>
        </is>
      </c>
      <c r="G73" s="16" t="inlineStr">
        <is>
          <t>Центр</t>
        </is>
      </c>
      <c r="H73" s="16" t="inlineStr">
        <is>
          <t>HTML</t>
        </is>
      </c>
      <c r="I73" s="16" t="inlineStr">
        <is>
          <t>Еженедельно</t>
        </is>
      </c>
      <c r="J73" s="16" t="n">
        <v>1</v>
      </c>
      <c r="K73" s="16" t="inlineStr">
        <is>
          <t>да</t>
        </is>
      </c>
      <c r="L73" s="16" t="inlineStr">
        <is>
          <t>Фейерверки собирают до 20 тыс. человек — обязательно в выпуск. v0.4: городские события (фейерверки, Kidmas Lights) — на camcityevents.co.uk (та же платформа, что у Corn Exchange); cambridge.gov.uk/fireworks туда редиректит</t>
        </is>
      </c>
      <c r="M73" s="10" t="inlineStr">
        <is>
          <t>https://www.camcityevents.co.uk/events</t>
        </is>
      </c>
      <c r="N73" s="10" t="inlineStr">
        <is>
          <t>разрешено</t>
        </is>
      </c>
      <c r="O73" s="10" t="inlineStr">
        <is>
          <t>2026-09-27</t>
        </is>
      </c>
      <c r="P73" s="10" t="inlineStr">
        <is>
          <t>события ведут к: Cambridge Live (касса Corn Exchange и Guildhall) — 1 соб.: программы нет; своя касса (camcityevents.co.uk) — 1 соб.: программы нет</t>
        </is>
      </c>
    </row>
    <row r="74" ht="23.85" customHeight="1" s="11">
      <c r="A74" s="18" t="inlineStr">
        <is>
          <t>S073</t>
        </is>
      </c>
      <c r="B74" s="16" t="inlineStr">
        <is>
          <t>Праздники и сезонное</t>
        </is>
      </c>
      <c r="C74" s="16" t="inlineStr">
        <is>
          <t>Remembrance, Pancake Race и др. традиции</t>
        </is>
      </c>
      <c r="D74" s="16" t="inlineStr">
        <is>
          <t>Организатор</t>
        </is>
      </c>
      <c r="E74" s="17" t="n"/>
      <c r="F74" s="16" t="inlineStr">
        <is>
          <t>Сезонные традиции</t>
        </is>
      </c>
      <c r="G74" s="16" t="inlineStr">
        <is>
          <t>Центр</t>
        </is>
      </c>
      <c r="H74" s="16" t="inlineStr">
        <is>
          <t>Ручной календарь</t>
        </is>
      </c>
      <c r="I74" s="16" t="inlineStr">
        <is>
          <t>Ежегодно</t>
        </is>
      </c>
      <c r="J74" s="16" t="n">
        <v>3</v>
      </c>
      <c r="K74" s="17" t="inlineStr">
        <is>
          <t>—</t>
        </is>
      </c>
      <c r="L74" s="16" t="inlineStr">
        <is>
          <t>Завести статичный годовой календарь Этап 6: вручную — традиции (Remembrance, Pancake Race) — статичный календарь / recurring вручную; Remembrance в Эли — пришло из статьи Ely Standard</t>
        </is>
      </c>
      <c r="O74" s="10" t="inlineStr">
        <is>
          <t>2026-09-28</t>
        </is>
      </c>
      <c r="P74" s="10" t="inlineStr"/>
    </row>
    <row r="75" ht="15" customHeight="1" s="11">
      <c r="A75" s="31" t="inlineStr">
        <is>
          <t>S074</t>
        </is>
      </c>
      <c r="B75" s="16" t="inlineStr">
        <is>
          <t>Воркшопы и курсы</t>
        </is>
      </c>
      <c r="C75" s="16" t="inlineStr">
        <is>
          <t>Makespace Cambridge</t>
        </is>
      </c>
      <c r="D75" s="16" t="inlineStr">
        <is>
          <t>Организатор</t>
        </is>
      </c>
      <c r="E75" s="17" t="n"/>
      <c r="F75" s="16" t="inlineStr">
        <is>
          <t>Мастерская: воркшопы, дни открытых дверей</t>
        </is>
      </c>
      <c r="G75" s="16" t="inlineStr">
        <is>
          <t>Центр</t>
        </is>
      </c>
      <c r="H75" s="16" t="inlineStr">
        <is>
          <t>HTML</t>
        </is>
      </c>
      <c r="I75" s="16" t="inlineStr">
        <is>
          <t>Еженедельно</t>
        </is>
      </c>
      <c r="J75" s="16" t="n">
        <v>3</v>
      </c>
      <c r="K75" s="17" t="inlineStr">
        <is>
          <t>нет</t>
        </is>
      </c>
      <c r="L75" s="16" t="inlineStr">
        <is>
          <t>Этап 6: закрыт — Makespace: 429 на robots.txt — считаем запретом; курсы для членов, не публичные события</t>
        </is>
      </c>
      <c r="O75" s="10" t="inlineStr">
        <is>
          <t>2026-09-28</t>
        </is>
      </c>
      <c r="P75" s="10" t="inlineStr"/>
    </row>
    <row r="76" ht="15" customHeight="1" s="11">
      <c r="A76" s="16" t="inlineStr">
        <is>
          <t>S075</t>
        </is>
      </c>
      <c r="B76" s="16" t="inlineStr">
        <is>
          <t>Воркшопы и курсы</t>
        </is>
      </c>
      <c r="C76" s="16" t="inlineStr">
        <is>
          <t>Воркшопы в музеях</t>
        </is>
      </c>
      <c r="D76" s="16" t="inlineStr">
        <is>
          <t>Агрегатор</t>
        </is>
      </c>
      <c r="E76" s="17" t="n"/>
      <c r="F76" s="16" t="inlineStr">
        <is>
          <t>См. музеи</t>
        </is>
      </c>
      <c r="G76" s="16" t="inlineStr">
        <is>
          <t>Центр</t>
        </is>
      </c>
      <c r="H76" s="16" t="inlineStr">
        <is>
          <t>—</t>
        </is>
      </c>
      <c r="I76" s="16" t="inlineStr">
        <is>
          <t>—</t>
        </is>
      </c>
      <c r="J76" s="16" t="n">
        <v>2</v>
      </c>
      <c r="K76" s="17" t="inlineStr">
        <is>
          <t>—</t>
        </is>
      </c>
      <c r="L76" s="16" t="inlineStr">
        <is>
          <t>Этап 5: не нужен — производный (музеи)</t>
        </is>
      </c>
      <c r="N76" s="10" t="inlineStr">
        <is>
          <t>—</t>
        </is>
      </c>
      <c r="O76" s="10" t="inlineStr">
        <is>
          <t>2026-09-28</t>
        </is>
      </c>
      <c r="P76" s="10" t="inlineStr"/>
    </row>
    <row r="77" ht="23.85" customHeight="1" s="11">
      <c r="A77" s="18" t="inlineStr">
        <is>
          <t>S076</t>
        </is>
      </c>
      <c r="B77" s="16" t="inlineStr">
        <is>
          <t>Сообщества и благотворительность</t>
        </is>
      </c>
      <c r="C77" s="16" t="inlineStr">
        <is>
          <t>Love Mill Road / Mill Road Fringe</t>
        </is>
      </c>
      <c r="D77" s="16" t="inlineStr">
        <is>
          <t>Организатор</t>
        </is>
      </c>
      <c r="E77" s="16" t="inlineStr">
        <is>
          <t>https://www.millroadwinterfair.org/mill-road-fringe/</t>
        </is>
      </c>
      <c r="F77" s="16" t="inlineStr">
        <is>
          <t>Районные события Mill Road в течение года</t>
        </is>
      </c>
      <c r="G77" s="16" t="inlineStr">
        <is>
          <t>Центр</t>
        </is>
      </c>
      <c r="H77" s="16" t="inlineStr">
        <is>
          <t>HTML</t>
        </is>
      </c>
      <c r="I77" s="16" t="inlineStr">
        <is>
          <t>Еженедельно</t>
        </is>
      </c>
      <c r="J77" s="16" t="n">
        <v>2</v>
      </c>
      <c r="K77" s="16" t="inlineStr">
        <is>
          <t>да</t>
        </is>
      </c>
      <c r="L77" s="16" t="inlineStr">
        <is>
          <t>Этап 5: отложен — Mill Road Fringe — сезонно; страница WordPress без событийных данных Этап 6: отложен — Mill Road Fringe: страница без дат, фестиваль летом — проверить к сезону; Winter Fair — в recurring (R16)</t>
        </is>
      </c>
      <c r="M77" s="10" t="inlineStr">
        <is>
          <t>https://www.millroadwinterfair.org/feed/</t>
        </is>
      </c>
      <c r="N77" s="10" t="inlineStr">
        <is>
          <t>разрешено</t>
        </is>
      </c>
      <c r="O77" s="10" t="inlineStr">
        <is>
          <t>2026-09-28</t>
        </is>
      </c>
      <c r="P77" s="10" t="inlineStr"/>
    </row>
    <row r="78" ht="23.85" customHeight="1" s="11">
      <c r="A78" s="16" t="inlineStr">
        <is>
          <t>S077</t>
        </is>
      </c>
      <c r="B78" s="16" t="inlineStr">
        <is>
          <t>Сообщества и благотворительность</t>
        </is>
      </c>
      <c r="C78" s="16" t="inlineStr">
        <is>
          <t>Районные FB-группы и Nextdoor</t>
        </is>
      </c>
      <c r="D78" s="16" t="inlineStr">
        <is>
          <t>Соцсети</t>
        </is>
      </c>
      <c r="E78" s="17" t="n"/>
      <c r="F78" s="16" t="inlineStr">
        <is>
          <t>Районные события, отмены</t>
        </is>
      </c>
      <c r="G78" s="16" t="inlineStr">
        <is>
          <t>Центр</t>
        </is>
      </c>
      <c r="H78" s="16" t="inlineStr">
        <is>
          <t>Ручной мониторинг (не парсить — правила платформ)</t>
        </is>
      </c>
      <c r="I78" s="16" t="inlineStr">
        <is>
          <t>Еженедельно</t>
        </is>
      </c>
      <c r="J78" s="16" t="n">
        <v>2</v>
      </c>
      <c r="K78" s="17" t="inlineStr">
        <is>
          <t>—</t>
        </is>
      </c>
      <c r="L78" s="16" t="inlineStr">
        <is>
          <t>Этап 5: не нужен — соцсети — по правилам не парсим</t>
        </is>
      </c>
      <c r="N78" s="10" t="inlineStr">
        <is>
          <t>—</t>
        </is>
      </c>
      <c r="O78" s="10" t="inlineStr">
        <is>
          <t>2026-09-28</t>
        </is>
      </c>
      <c r="P78" s="10" t="inlineStr"/>
    </row>
    <row r="79" ht="23.85" customHeight="1" s="11">
      <c r="A79" s="31" t="inlineStr">
        <is>
          <t>S078</t>
        </is>
      </c>
      <c r="B79" s="16" t="inlineStr">
        <is>
          <t>Практическое</t>
        </is>
      </c>
      <c r="C79" s="16" t="inlineStr">
        <is>
          <t>Перекрытия дорог (county council / one.network)</t>
        </is>
      </c>
      <c r="D79" s="16" t="inlineStr">
        <is>
          <t>Госорган</t>
        </is>
      </c>
      <c r="E79" s="17" t="n"/>
      <c r="F79" s="16" t="inlineStr">
        <is>
          <t>Дорожные работы и перекрытия под события</t>
        </is>
      </c>
      <c r="G79" s="16" t="inlineStr">
        <is>
          <t>Центр + 30 мин</t>
        </is>
      </c>
      <c r="H79" s="16" t="inlineStr">
        <is>
          <t>HTML / фид (проверить)</t>
        </is>
      </c>
      <c r="I79" s="16" t="inlineStr">
        <is>
          <t>Ежедневно</t>
        </is>
      </c>
      <c r="J79" s="16" t="n">
        <v>2</v>
      </c>
      <c r="K79" s="17" t="inlineStr">
        <is>
          <t>нет</t>
        </is>
      </c>
      <c r="L79" s="16" t="inlineStr">
        <is>
          <t>Этап 5: закрыт — robots.txt запрещает</t>
        </is>
      </c>
      <c r="N79" s="10" t="inlineStr">
        <is>
          <t>запрещено</t>
        </is>
      </c>
      <c r="O79" s="10" t="inlineStr">
        <is>
          <t>2026-09-28</t>
        </is>
      </c>
      <c r="P79" s="10" t="inlineStr"/>
    </row>
    <row r="80" ht="23.85" customHeight="1" s="11">
      <c r="A80" s="16" t="inlineStr">
        <is>
          <t>S079</t>
        </is>
      </c>
      <c r="B80" s="16" t="inlineStr">
        <is>
          <t>Практическое</t>
        </is>
      </c>
      <c r="C80" s="16" t="inlineStr">
        <is>
          <t>Greater Anglia / Thameslink / National Rail</t>
        </is>
      </c>
      <c r="D80" s="16" t="inlineStr">
        <is>
          <t>Транспорт</t>
        </is>
      </c>
      <c r="E80" s="17" t="n"/>
      <c r="F80" s="16" t="inlineStr">
        <is>
          <t>Инженерные работы, забастовки</t>
        </is>
      </c>
      <c r="G80" s="16" t="inlineStr">
        <is>
          <t>Центр + час</t>
        </is>
      </c>
      <c r="H80" s="16" t="inlineStr">
        <is>
          <t>HTML / API National Rail (проверить)</t>
        </is>
      </c>
      <c r="I80" s="16" t="inlineStr">
        <is>
          <t>Ежедневно</t>
        </is>
      </c>
      <c r="J80" s="16" t="n">
        <v>2</v>
      </c>
      <c r="K80" s="17" t="inlineStr">
        <is>
          <t>да</t>
        </is>
      </c>
      <c r="L80" s="16" t="inlineStr">
        <is>
          <t>Этап 5: не нужен — не события (транспорт); вернуться к этому, если понадобится практический блок</t>
        </is>
      </c>
      <c r="M80" s="10" t="inlineStr">
        <is>
          <t>https://www.nationalrail.co.uk</t>
        </is>
      </c>
      <c r="N80" s="10" t="inlineStr">
        <is>
          <t>разрешено</t>
        </is>
      </c>
      <c r="O80" s="10" t="inlineStr">
        <is>
          <t>2026-09-28</t>
        </is>
      </c>
      <c r="P80" s="10" t="inlineStr"/>
    </row>
    <row r="81" ht="15" customHeight="1" s="11">
      <c r="A81" s="16" t="inlineStr">
        <is>
          <t>S080</t>
        </is>
      </c>
      <c r="B81" s="16" t="inlineStr">
        <is>
          <t>Практическое</t>
        </is>
      </c>
      <c r="C81" s="16" t="inlineStr">
        <is>
          <t>Stagecoach East / Park &amp; Ride</t>
        </is>
      </c>
      <c r="D81" s="16" t="inlineStr">
        <is>
          <t>Транспорт</t>
        </is>
      </c>
      <c r="E81" s="17" t="n"/>
      <c r="F81" s="16" t="inlineStr">
        <is>
          <t>Изменения автобусов в дни событий</t>
        </is>
      </c>
      <c r="G81" s="16" t="inlineStr">
        <is>
          <t>Центр</t>
        </is>
      </c>
      <c r="H81" s="16" t="inlineStr">
        <is>
          <t>HTML</t>
        </is>
      </c>
      <c r="I81" s="16" t="inlineStr">
        <is>
          <t>Еженедельно</t>
        </is>
      </c>
      <c r="J81" s="16" t="n">
        <v>3</v>
      </c>
      <c r="K81" s="17" t="inlineStr">
        <is>
          <t>—</t>
        </is>
      </c>
      <c r="L81" s="16" t="inlineStr">
        <is>
          <t>Этап 6: не нужен — Stagecoach / Park &amp; Ride — транспорт, не события (рубрики «Практическое» в выпуске нет)</t>
        </is>
      </c>
      <c r="O81" s="10" t="inlineStr">
        <is>
          <t>2026-09-28</t>
        </is>
      </c>
      <c r="P81" s="10" t="inlineStr"/>
    </row>
    <row r="82" ht="23.85" customHeight="1" s="11">
      <c r="A82" s="16" t="inlineStr">
        <is>
          <t>S081</t>
        </is>
      </c>
      <c r="B82" s="16" t="inlineStr">
        <is>
          <t>Фестивали</t>
        </is>
      </c>
      <c r="C82" s="16" t="inlineStr">
        <is>
          <t>Thriplow Daffodil Weekend</t>
        </is>
      </c>
      <c r="D82" s="16" t="inlineStr">
        <is>
          <t>Организатор</t>
        </is>
      </c>
      <c r="E82" s="16" t="inlineStr">
        <is>
          <t>https://www.thriplowdaffodils.org.uk</t>
        </is>
      </c>
      <c r="F82" s="16" t="inlineStr">
        <is>
          <t>Нарциссовый фестиваль в деревне Thriplow, март; до 10 тыс. гостей, деревня без машин</t>
        </is>
      </c>
      <c r="G82" s="16" t="inlineStr">
        <is>
          <t>30 мин</t>
        </is>
      </c>
      <c r="H82" s="16" t="inlineStr">
        <is>
          <t>HTML</t>
        </is>
      </c>
      <c r="I82" s="16" t="inlineStr">
        <is>
          <t>Ежегодно</t>
        </is>
      </c>
      <c r="J82" s="16" t="n">
        <v>1</v>
      </c>
      <c r="K82" s="16" t="inlineStr">
        <is>
          <t>да</t>
        </is>
      </c>
      <c r="L82" s="16" t="inlineStr">
        <is>
          <t>Бывали отмены, если нарциссы не зацвели — мониторить Этап 6: ежегодное — через recurring_events (R02)</t>
        </is>
      </c>
      <c r="M82" s="10" t="inlineStr">
        <is>
          <t>https://www.thriplowdaffodils.org.uk</t>
        </is>
      </c>
      <c r="N82" s="10" t="inlineStr">
        <is>
          <t>разрешено</t>
        </is>
      </c>
      <c r="O82" s="10" t="inlineStr">
        <is>
          <t>2026-09-28</t>
        </is>
      </c>
      <c r="P82" s="10" t="inlineStr"/>
    </row>
    <row r="83" ht="35.05" customHeight="1" s="11">
      <c r="A83" s="16" t="inlineStr">
        <is>
          <t>S082</t>
        </is>
      </c>
      <c r="B83" s="16" t="inlineStr">
        <is>
          <t>Спорт — смотреть</t>
        </is>
      </c>
      <c r="C83" s="16" t="inlineStr">
        <is>
          <t>Cambridge Dragon Boat Festival (ACT)</t>
        </is>
      </c>
      <c r="D83" s="16" t="inlineStr">
        <is>
          <t>Организатор</t>
        </is>
      </c>
      <c r="E83" s="16" t="inlineStr">
        <is>
          <t>https://act4addenbrookes.org.uk</t>
        </is>
      </c>
      <c r="F83" s="16" t="inlineStr">
        <is>
          <t>Гонки драконьих лодок на Cam у Fen Ditton, сентябрь; 48 корпоративных команд, семейная программа на берегу</t>
        </is>
      </c>
      <c r="G83" s="16" t="inlineStr">
        <is>
          <t>Центр</t>
        </is>
      </c>
      <c r="H83" s="16" t="inlineStr">
        <is>
          <t>HTML</t>
        </is>
      </c>
      <c r="I83" s="16" t="inlineStr">
        <is>
          <t>Ежегодно</t>
        </is>
      </c>
      <c r="J83" s="16" t="n">
        <v>1</v>
      </c>
      <c r="K83" s="16" t="inlineStr">
        <is>
          <t>да</t>
        </is>
      </c>
      <c r="L83" s="16" t="inlineStr">
        <is>
          <t>Благотворительный, в пользу Addenbrooke's. v0.4: ежегодно; /feed/ — новости; в WP REST есть тип events — проверить на этапе 2 Этап 6: ежегодное — через recurring_events (R10)</t>
        </is>
      </c>
      <c r="M83" s="10" t="inlineStr">
        <is>
          <t>https://act4addenbrookes.org.uk/dragonboat/</t>
        </is>
      </c>
      <c r="N83" s="10" t="inlineStr">
        <is>
          <t>разрешено</t>
        </is>
      </c>
      <c r="O83" s="10" t="inlineStr">
        <is>
          <t>2026-09-28</t>
        </is>
      </c>
      <c r="P83" s="10" t="inlineStr"/>
    </row>
    <row r="84" ht="23.85" customHeight="1" s="11">
      <c r="A84" s="16" t="inlineStr">
        <is>
          <t>S083</t>
        </is>
      </c>
      <c r="B84" s="16" t="inlineStr">
        <is>
          <t>Фестивали</t>
        </is>
      </c>
      <c r="C84" s="16" t="inlineStr">
        <is>
          <t>«Nihao! China» Cambridge Dragon Boat Festival</t>
        </is>
      </c>
      <c r="D84" s="16" t="inlineStr">
        <is>
          <t>Организатор</t>
        </is>
      </c>
      <c r="E84" s="17" t="n"/>
      <c r="F84" s="16" t="inlineStr">
        <is>
          <t>Китайский фестиваль драконьих лодок на Jesus Green и Cam, июнь</t>
        </is>
      </c>
      <c r="G84" s="16" t="inlineStr">
        <is>
          <t>Центр</t>
        </is>
      </c>
      <c r="H84" s="16" t="inlineStr">
        <is>
          <t>Ручной (ежегодно)</t>
        </is>
      </c>
      <c r="I84" s="16" t="inlineStr">
        <is>
          <t>Ежегодно</t>
        </is>
      </c>
      <c r="J84" s="16" t="n">
        <v>2</v>
      </c>
      <c r="K84" s="17" t="inlineStr">
        <is>
          <t>да</t>
        </is>
      </c>
      <c r="L84" s="16" t="inlineStr">
        <is>
          <t>Этап 5: ежегодное — фестиваль в июне; билеты на Eventbrite (S008)</t>
        </is>
      </c>
      <c r="M84" s="10" t="inlineStr">
        <is>
          <t>https://www.eventbrite.com/e/nihao-china-cambridge-dragon-boat-festival-2026-tickets-1985873566295</t>
        </is>
      </c>
      <c r="N84" s="10" t="inlineStr">
        <is>
          <t>разрешено</t>
        </is>
      </c>
      <c r="O84" s="10" t="inlineStr">
        <is>
          <t>2026-09-28</t>
        </is>
      </c>
      <c r="P84" s="10" t="inlineStr">
        <is>
          <t>Eventbrite: есть — Eventbrite Affiliate Program (в условиях не указана (обзоры: impact.com))</t>
        </is>
      </c>
    </row>
    <row r="85" ht="23.85" customHeight="1" s="11">
      <c r="A85" s="18" t="inlineStr">
        <is>
          <t>S084</t>
        </is>
      </c>
      <c r="B85" s="16" t="inlineStr">
        <is>
          <t>Спорт — смотреть</t>
        </is>
      </c>
      <c r="C85" s="16" t="inlineStr">
        <is>
          <t>Cambridgeshire Cats (американский футбол)</t>
        </is>
      </c>
      <c r="D85" s="16" t="inlineStr">
        <is>
          <t>Клуб</t>
        </is>
      </c>
      <c r="E85" s="17" t="n"/>
      <c r="F85" s="16" t="inlineStr">
        <is>
          <t>BAFA Premier Division South, домашние игры в Shelford Rugby Club</t>
        </is>
      </c>
      <c r="G85" s="16" t="inlineStr">
        <is>
          <t>30 мин</t>
        </is>
      </c>
      <c r="H85" s="16" t="inlineStr">
        <is>
          <t>HTML / соцсети</t>
        </is>
      </c>
      <c r="I85" s="16" t="inlineStr">
        <is>
          <t>Еженедельно в сезон</t>
        </is>
      </c>
      <c r="J85" s="16" t="n">
        <v>2</v>
      </c>
      <c r="K85" s="17" t="inlineStr">
        <is>
          <t>да</t>
        </is>
      </c>
      <c r="L85" s="16" t="inlineStr">
        <is>
          <t>Этап 5: отложен — сайт WordPress (новости), страницы расписания нет; сезон BAFA — весна–лето, сейчас матчей нет Этап 6c: не сезон — Cambridgeshire Cats (американский футбол): сезон BAFA весна–лето, в октябре игр нет — подключить к началу сезона</t>
        </is>
      </c>
      <c r="M85" s="10" t="inlineStr">
        <is>
          <t>https://cambridgeshirecats.com/feed/</t>
        </is>
      </c>
      <c r="N85" s="10" t="inlineStr">
        <is>
          <t>разрешено</t>
        </is>
      </c>
      <c r="O85" s="10" t="inlineStr">
        <is>
          <t>2026-09-29</t>
        </is>
      </c>
      <c r="P85" s="10" t="inlineStr"/>
    </row>
    <row r="86" ht="23.85" customHeight="1" s="11">
      <c r="A86" s="18" t="inlineStr">
        <is>
          <t>S085</t>
        </is>
      </c>
      <c r="B86" s="16" t="inlineStr">
        <is>
          <t>Спорт — смотреть</t>
        </is>
      </c>
      <c r="C86" s="16" t="inlineStr">
        <is>
          <t>Cambridge Pythons (университетский ам. футбол)</t>
        </is>
      </c>
      <c r="D86" s="16" t="inlineStr">
        <is>
          <t>Клуб</t>
        </is>
      </c>
      <c r="E86" s="17" t="n"/>
      <c r="F86" s="16" t="inlineStr">
        <is>
          <t>BUAFL, университетская лига</t>
        </is>
      </c>
      <c r="G86" s="16" t="inlineStr">
        <is>
          <t>Центр</t>
        </is>
      </c>
      <c r="H86" s="16" t="inlineStr">
        <is>
          <t>HTML / соцсети</t>
        </is>
      </c>
      <c r="I86" s="16" t="inlineStr">
        <is>
          <t>Еженедельно в сезон</t>
        </is>
      </c>
      <c r="J86" s="16" t="n">
        <v>3</v>
      </c>
      <c r="K86" s="17" t="inlineStr">
        <is>
          <t>нет</t>
        </is>
      </c>
      <c r="L86" s="16" t="inlineStr">
        <is>
          <t>Этап 6: отложен — Cambridge Pythons: сайт отвечает 502, сезон BAFA весна–лето — проверить весной вместе с Cambridgeshire Cats (R18)</t>
        </is>
      </c>
      <c r="O86" s="10" t="inlineStr">
        <is>
          <t>2026-09-28</t>
        </is>
      </c>
      <c r="P86" s="10" t="inlineStr"/>
    </row>
    <row r="87" ht="23.85" customHeight="1" s="11">
      <c r="A87" s="16" t="inlineStr">
        <is>
          <t>S086</t>
        </is>
      </c>
      <c r="B87" s="16" t="inlineStr">
        <is>
          <t>Сообщества и благотворительность</t>
        </is>
      </c>
      <c r="C87" s="16" t="inlineStr">
        <is>
          <t>Addenbrooke's Charitable Trust — события</t>
        </is>
      </c>
      <c r="D87" s="16" t="inlineStr">
        <is>
          <t>Организатор</t>
        </is>
      </c>
      <c r="E87" s="16" t="inlineStr">
        <is>
          <t>https://act4addenbrookes.org.uk</t>
        </is>
      </c>
      <c r="F87" s="16" t="inlineStr">
        <is>
          <t>Благотворительные забеги, лодки, челленджи</t>
        </is>
      </c>
      <c r="G87" s="16" t="inlineStr">
        <is>
          <t>Центр + 30 мин</t>
        </is>
      </c>
      <c r="H87" s="16" t="inlineStr">
        <is>
          <t>HTML</t>
        </is>
      </c>
      <c r="I87" s="16" t="inlineStr">
        <is>
          <t>Еженедельно</t>
        </is>
      </c>
      <c r="J87" s="16" t="n">
        <v>2</v>
      </c>
      <c r="K87" s="16" t="inlineStr">
        <is>
          <t>да</t>
        </is>
      </c>
      <c r="L87" s="16" t="inlineStr">
        <is>
          <t>Этап 5: отложен — WordPress events + RSS; благотворительные забеги и челленджи — разбор HTML Этап 6: не нужен — Addenbrooke's Charitable Trust: благотворительные забеги и акции для участников, не события для зрителей; Dragon Boat Festival — в recurring (R10)</t>
        </is>
      </c>
      <c r="M87" s="10" t="inlineStr">
        <is>
          <t>https://act4addenbrookes.org.uk/feed/</t>
        </is>
      </c>
      <c r="N87" s="10" t="inlineStr">
        <is>
          <t>разрешено</t>
        </is>
      </c>
      <c r="O87" s="10" t="inlineStr">
        <is>
          <t>2026-09-28</t>
        </is>
      </c>
      <c r="P87" s="10" t="inlineStr"/>
    </row>
    <row r="88" ht="35.05" customHeight="1" s="11">
      <c r="A88" s="16" t="inlineStr">
        <is>
          <t>S087</t>
        </is>
      </c>
      <c r="B88" s="16" t="inlineStr">
        <is>
          <t>Еда и напитки</t>
        </is>
      </c>
      <c r="C88" s="16" t="inlineStr">
        <is>
          <t>The Cambridge Foodies</t>
        </is>
      </c>
      <c r="D88" s="16" t="inlineStr">
        <is>
          <t>Блог / СМИ</t>
        </is>
      </c>
      <c r="E88" s="16" t="inlineStr">
        <is>
          <t>https://cambridgefoodies.me.uk</t>
        </is>
      </c>
      <c r="F88" s="16" t="inlineStr">
        <is>
          <t>Открытия и обзоры ресторанов и кафе, в т.ч. Mill Road, Ely, Royston</t>
        </is>
      </c>
      <c r="G88" s="16" t="inlineStr">
        <is>
          <t>Центр + 30 мин</t>
        </is>
      </c>
      <c r="H88" s="16" t="inlineStr">
        <is>
          <t>RSS</t>
        </is>
      </c>
      <c r="I88" s="16" t="inlineStr">
        <is>
          <t>Ежедневно</t>
        </is>
      </c>
      <c r="J88" s="16" t="n">
        <v>1</v>
      </c>
      <c r="K88" s="16" t="inlineStr">
        <is>
          <t>да</t>
        </is>
      </c>
      <c r="L88" s="16" t="inlineStr">
        <is>
          <t>Поймал Catte Latte, Hungarian Soul, Buren, Urban Larder. Часть постов рекламные (помечены «ad»), часть за платной подпиской. v0.4: поток «новое в городе», не афиша</t>
        </is>
      </c>
      <c r="M88" s="10" t="inlineStr">
        <is>
          <t>https://cambridgefoodies.me.uk/feed/</t>
        </is>
      </c>
      <c r="N88" s="10" t="inlineStr">
        <is>
          <t>разрешено</t>
        </is>
      </c>
      <c r="O88" s="10" t="inlineStr">
        <is>
          <t>2026-09-27</t>
        </is>
      </c>
      <c r="P88" s="10" t="inlineStr"/>
    </row>
    <row r="89" ht="35.05" customHeight="1" s="11">
      <c r="A89" s="31" t="inlineStr">
        <is>
          <t>S088</t>
        </is>
      </c>
      <c r="B89" s="16" t="inlineStr">
        <is>
          <t>Спорт — участвовать</t>
        </is>
      </c>
      <c r="C89" s="16" t="inlineStr">
        <is>
          <t>parkrun — Cambridge, Wimpole и др.</t>
        </is>
      </c>
      <c r="D89" s="16" t="inlineStr">
        <is>
          <t>Организатор</t>
        </is>
      </c>
      <c r="E89" s="16" t="inlineStr">
        <is>
          <t>https://www.parkrun.org.uk</t>
        </is>
      </c>
      <c r="F89" s="16" t="inlineStr">
        <is>
          <t>Еженедельные бесплатные 5 км по субботам 9:00, junior parkrun по воскресеньям</t>
        </is>
      </c>
      <c r="G89" s="16" t="inlineStr">
        <is>
          <t>Центр + 30 мин</t>
        </is>
      </c>
      <c r="H89" s="16" t="inlineStr">
        <is>
          <t>Статичный справочник + ручной (спецзабеги: Рождество, Новый год, отмены)</t>
        </is>
      </c>
      <c r="I89" s="16" t="inlineStr">
        <is>
          <t>Еженедельно</t>
        </is>
      </c>
      <c r="J89" s="16" t="n">
        <v>2</v>
      </c>
      <c r="K89" s="17" t="inlineStr">
        <is>
          <t>нет</t>
        </is>
      </c>
      <c r="L89" s="16" t="inlineStr">
        <is>
          <t>Этап 5: закрыт — parkrun.org.uk: robots.txt отвечает 403 — считаем запретом; регулярные забеги — статичный справочник вручную</t>
        </is>
      </c>
      <c r="N89" s="10" t="inlineStr">
        <is>
          <t>—</t>
        </is>
      </c>
      <c r="O89" s="10" t="inlineStr">
        <is>
          <t>2026-09-28</t>
        </is>
      </c>
      <c r="P89" s="10" t="inlineStr"/>
    </row>
    <row r="90" ht="23.85" customHeight="1" s="11">
      <c r="A90" s="16" t="inlineStr">
        <is>
          <t>S089</t>
        </is>
      </c>
      <c r="B90" s="16" t="inlineStr">
        <is>
          <t>Спорт — участвовать</t>
        </is>
      </c>
      <c r="C90" s="16" t="inlineStr">
        <is>
          <t>Town and Gown 10k</t>
        </is>
      </c>
      <c r="D90" s="16" t="inlineStr">
        <is>
          <t>Организатор</t>
        </is>
      </c>
      <c r="E90" s="18" t="inlineStr">
        <is>
          <t>https://www.townandgown10k.com/</t>
        </is>
      </c>
      <c r="F90" s="16" t="inlineStr">
        <is>
          <t>10 км, октябрь, старт на Midsummer Common, ~3000 участников</t>
        </is>
      </c>
      <c r="G90" s="16" t="inlineStr">
        <is>
          <t>Центр</t>
        </is>
      </c>
      <c r="H90" s="16" t="inlineStr">
        <is>
          <t>Через Cambridge News (S004) и Cambridge 105 (S005)</t>
        </is>
      </c>
      <c r="I90" s="16" t="inlineStr">
        <is>
          <t>Ежегодно</t>
        </is>
      </c>
      <c r="J90" s="16" t="n">
        <v>1</v>
      </c>
      <c r="K90" s="18" t="inlineStr">
        <is>
          <t>нет</t>
        </is>
      </c>
      <c r="L90" s="16" t="inlineStr">
        <is>
          <t>Нужен и для рубрики «Практическое» — перекрытия. v0.4: решение после этапа 1: защиту не обходим; ловим по новостям Cambridge News и Cambridge 105, официальный сайт townandgown10k.com (MDUK) Этап 6: ежегодное — Cloudflare; через статьи и recurring_events (R14, вручную)</t>
        </is>
      </c>
      <c r="N90" s="10" t="inlineStr">
        <is>
          <t>robots.txt: 403</t>
        </is>
      </c>
      <c r="O90" s="10" t="inlineStr">
        <is>
          <t>2026-09-28</t>
        </is>
      </c>
      <c r="P90" s="10" t="inlineStr"/>
    </row>
    <row r="91">
      <c r="A91" s="10" t="inlineStr">
        <is>
          <t>S090</t>
        </is>
      </c>
      <c r="B91" s="10" t="inlineStr">
        <is>
          <t>Ночная жизнь</t>
        </is>
      </c>
      <c r="C91" s="10" t="inlineStr">
        <is>
          <t>DesignMyNight — Cambridge</t>
        </is>
      </c>
      <c r="D91" s="10" t="inlineStr">
        <is>
          <t>Агрегатор / бронирование</t>
        </is>
      </c>
      <c r="E91" s="19" t="inlineStr">
        <is>
          <t>https://www.designmynight.com/cambridge</t>
        </is>
      </c>
      <c r="F91" s="10" t="inlineStr">
        <is>
          <t>Бары, рестораны, мероприятия в заведениях</t>
        </is>
      </c>
      <c r="G91" s="10" t="inlineStr">
        <is>
          <t>Центр</t>
        </is>
      </c>
      <c r="H91" s="10" t="inlineStr">
        <is>
          <t>— (robots.txt запрещает)</t>
        </is>
      </c>
      <c r="I91" s="10" t="inlineStr">
        <is>
          <t>Еженедельно</t>
        </is>
      </c>
      <c r="J91" s="10" t="n">
        <v>1</v>
      </c>
      <c r="K91" s="19" t="inlineStr">
        <is>
          <t>нет</t>
        </is>
      </c>
      <c r="L91" s="10" t="inlineStr">
        <is>
          <t>Добавлен в v0.4 (решение после этапа 1). v0.4: не собираем; возможен только как справочник заведений для «новое в городе» Этап 6: не собираем — robots.txt запрещает раздел событий</t>
        </is>
      </c>
      <c r="M91" s="10" t="inlineStr">
        <is>
          <t>https://www.designmynight.com/cambridge</t>
        </is>
      </c>
      <c r="N91" s="10" t="inlineStr">
        <is>
          <t>запрещено: /cambridge/whats-on, /api/</t>
        </is>
      </c>
      <c r="O91" s="10" t="inlineStr">
        <is>
          <t>2026-09-28</t>
        </is>
      </c>
      <c r="P91" s="10" t="inlineStr"/>
    </row>
    <row r="92">
      <c r="A92" s="10" t="inlineStr">
        <is>
          <t>S091</t>
        </is>
      </c>
      <c r="B92" s="10" t="inlineStr">
        <is>
          <t>Сквозные агрегаторы</t>
        </is>
      </c>
      <c r="C92" s="10" t="inlineStr">
        <is>
          <t>Cambridge Live Tickets</t>
        </is>
      </c>
      <c r="D92" s="10" t="inlineStr">
        <is>
          <t>Билетная система</t>
        </is>
      </c>
      <c r="E92" s="10" t="inlineStr">
        <is>
          <t>https://www.cambridgelivetickets.co.uk</t>
        </is>
      </c>
      <c r="F92" s="10" t="inlineStr">
        <is>
          <t>Corn Exchange, Guildhall, городские события Cambridge Live</t>
        </is>
      </c>
      <c r="G92" s="10" t="inlineStr">
        <is>
          <t>Центр</t>
        </is>
      </c>
      <c r="H92" s="10" t="inlineStr">
        <is>
          <t>HTML + JSON-LD</t>
        </is>
      </c>
      <c r="I92" s="10" t="inlineStr">
        <is>
          <t>Ежедневно</t>
        </is>
      </c>
      <c r="J92" s="10" t="n">
        <v>1</v>
      </c>
      <c r="K92" s="10" t="inlineStr">
        <is>
          <t>да</t>
        </is>
      </c>
      <c r="L92" s="10" t="inlineStr">
        <is>
          <t>Добавлен в v0.4 (решение после этапа 1). v0.4: список ?page=1..4 в HTML (~24 на страницу), JSON-LD Event с postcode на странице события; пересекается с S011 и S072</t>
        </is>
      </c>
      <c r="M92" s="10" t="inlineStr">
        <is>
          <t>https://www.cambridgelivetickets.co.uk/events</t>
        </is>
      </c>
      <c r="N92" s="10" t="inlineStr">
        <is>
          <t>разрешено</t>
        </is>
      </c>
      <c r="O92" s="10" t="inlineStr">
        <is>
          <t>2026-09-27</t>
        </is>
      </c>
      <c r="P92" s="10" t="inlineStr">
        <is>
          <t>события ведут к: Cambridge Live (касса Corn Exchange и Guildhall) — 11 соб.: программы нет</t>
        </is>
      </c>
    </row>
    <row r="93">
      <c r="A93" s="10" t="inlineStr">
        <is>
          <t>S092</t>
        </is>
      </c>
      <c r="B93" s="10" t="inlineStr">
        <is>
          <t>Новое в городе</t>
        </is>
      </c>
      <c r="C93" s="10" t="inlineStr">
        <is>
          <t>Cambridge Independent — News/Business</t>
        </is>
      </c>
      <c r="D93" s="10" t="inlineStr">
        <is>
          <t>СМИ (RSS)</t>
        </is>
      </c>
      <c r="E93" s="10" t="inlineStr">
        <is>
          <t>https://www.cambridgeindependent.co.uk/rss-feeds/</t>
        </is>
      </c>
      <c r="F93" s="10" t="inlineStr">
        <is>
          <t>Открытия/закрытия заведений, отмены</t>
        </is>
      </c>
      <c r="G93" s="10" t="inlineStr">
        <is>
          <t>Центр + час</t>
        </is>
      </c>
      <c r="H93" s="10" t="inlineStr">
        <is>
          <t>RSS + извлечение Claude</t>
        </is>
      </c>
      <c r="I93" s="10" t="inlineStr">
        <is>
          <t>Ежедневно</t>
        </is>
      </c>
      <c r="J93" s="10" t="n">
        <v>1</v>
      </c>
      <c r="K93" s="10" t="inlineStr">
        <is>
          <t>да</t>
        </is>
      </c>
      <c r="L93" s="10" t="inlineStr">
        <is>
          <t>Добавлен в v0.4 (бриф v3, «Новое в городе»). v0.4: по 20 записей в Business и News; коллектор collectors/sources/cambridge_independent_business.py</t>
        </is>
      </c>
      <c r="M93" s="10" t="inlineStr">
        <is>
          <t>https://www.cambridgeindependent.co.uk/_api/rss/cambridge_independent_business_feed.xml (+ news_feed.xml)</t>
        </is>
      </c>
      <c r="N93" s="10" t="inlineStr">
        <is>
          <t>разрешено</t>
        </is>
      </c>
      <c r="O93" s="10" t="inlineStr">
        <is>
          <t>2026-09-27</t>
        </is>
      </c>
      <c r="P93" s="10" t="inlineStr">
        <is>
          <t>события ведут к: продавец не определён — 3 соб.</t>
        </is>
      </c>
    </row>
    <row r="94">
      <c r="A94" s="10" t="inlineStr">
        <is>
          <t>S093</t>
        </is>
      </c>
      <c r="B94" s="10" t="inlineStr">
        <is>
          <t>Новое в городе</t>
        </is>
      </c>
      <c r="C94" s="10" t="inlineStr">
        <is>
          <t>Cambridge News — Food &amp; Drink, Shopping</t>
        </is>
      </c>
      <c r="D94" s="10" t="inlineStr">
        <is>
          <t>СМИ (RSS)</t>
        </is>
      </c>
      <c r="E94" s="10" t="inlineStr">
        <is>
          <t>https://www.cambridge-news.co.uk/all-about/food-and-drink</t>
        </is>
      </c>
      <c r="F94" s="10" t="inlineStr">
        <is>
          <t>Открытия ресторанов, кафе, магазинов</t>
        </is>
      </c>
      <c r="G94" s="10" t="inlineStr">
        <is>
          <t>Центр + час</t>
        </is>
      </c>
      <c r="H94" s="10" t="inlineStr">
        <is>
          <t>RSS + извлечение Claude</t>
        </is>
      </c>
      <c r="I94" s="10" t="inlineStr">
        <is>
          <t>Ежедневно</t>
        </is>
      </c>
      <c r="J94" s="10" t="n">
        <v>1</v>
      </c>
      <c r="K94" s="10" t="inlineStr">
        <is>
          <t>да</t>
        </is>
      </c>
      <c r="L94" s="10" t="inlineStr">
        <is>
          <t>Добавлен в v0.4 (бриф v3, «Новое в городе»). v0.4: раздела /news/business/ нет (404); есть теги all-about/food-and-drink и all-about/shopping с RSS (?service=rss); общий фид новостей — в S004</t>
        </is>
      </c>
      <c r="M94" s="10" t="inlineStr">
        <is>
          <t>https://www.cambridge-news.co.uk/all-about/food-and-drink?service=rss (+ shopping)</t>
        </is>
      </c>
      <c r="N94" s="10" t="inlineStr">
        <is>
          <t>разрешено</t>
        </is>
      </c>
      <c r="O94" s="10" t="inlineStr">
        <is>
          <t>2026-09-27</t>
        </is>
      </c>
      <c r="P94" s="10" t="inlineStr"/>
    </row>
    <row r="95">
      <c r="A95" s="10" t="inlineStr">
        <is>
          <t>S094</t>
        </is>
      </c>
      <c r="B95" s="10" t="inlineStr">
        <is>
          <t>Новое в городе</t>
        </is>
      </c>
      <c r="C95" s="10" t="inlineStr">
        <is>
          <t>Grand Arcade — магазины</t>
        </is>
      </c>
      <c r="D95" s="10" t="inlineStr">
        <is>
          <t>Торговый центр</t>
        </is>
      </c>
      <c r="E95" s="10" t="inlineStr">
        <is>
          <t>https://www.grandarcade.co.uk/</t>
        </is>
      </c>
      <c r="F95" s="10" t="inlineStr">
        <is>
          <t>Новые арендаторы</t>
        </is>
      </c>
      <c r="G95" s="10" t="inlineStr">
        <is>
          <t>Центр</t>
        </is>
      </c>
      <c r="H95" s="10" t="inlineStr">
        <is>
          <t>HTML (список магазинов, сравнение)</t>
        </is>
      </c>
      <c r="I95" s="10" t="inlineStr">
        <is>
          <t>Еженедельно</t>
        </is>
      </c>
      <c r="J95" s="10" t="n">
        <v>1</v>
      </c>
      <c r="K95" s="10" t="inlineStr">
        <is>
          <t>да</t>
        </is>
      </c>
      <c r="L95" s="10" t="inlineStr">
        <is>
          <t>Добавлен в v0.4 (бриф v3, «Новое в городе»). v0.4: RSS пуст, раздела новостей нет; 55 магазинов в /stores/ — новые арендаторы по сравнению с прошлым прогоном (первый прогон — база)</t>
        </is>
      </c>
      <c r="M95" s="10" t="inlineStr">
        <is>
          <t>https://www.grandarcade.co.uk/stores/</t>
        </is>
      </c>
      <c r="N95" s="10" t="inlineStr">
        <is>
          <t>разрешено</t>
        </is>
      </c>
      <c r="O95" s="10" t="inlineStr">
        <is>
          <t>2026-09-27</t>
        </is>
      </c>
      <c r="P95" s="10" t="inlineStr"/>
    </row>
    <row r="96">
      <c r="A96" s="10" t="inlineStr">
        <is>
          <t>S095</t>
        </is>
      </c>
      <c r="B96" s="10" t="inlineStr">
        <is>
          <t>Новое в городе</t>
        </is>
      </c>
      <c r="C96" s="10" t="inlineStr">
        <is>
          <t>Lion Yard — магазины</t>
        </is>
      </c>
      <c r="D96" s="10" t="inlineStr">
        <is>
          <t>Торговый центр</t>
        </is>
      </c>
      <c r="E96" s="10" t="inlineStr">
        <is>
          <t>https://www.thelionyard.co.uk/</t>
        </is>
      </c>
      <c r="F96" s="10" t="inlineStr">
        <is>
          <t>Новые арендаторы</t>
        </is>
      </c>
      <c r="G96" s="10" t="inlineStr">
        <is>
          <t>Центр</t>
        </is>
      </c>
      <c r="H96" s="10" t="inlineStr">
        <is>
          <t>HTML (список магазинов, сравнение)</t>
        </is>
      </c>
      <c r="I96" s="10" t="inlineStr">
        <is>
          <t>Еженедельно</t>
        </is>
      </c>
      <c r="J96" s="10" t="n">
        <v>1</v>
      </c>
      <c r="K96" s="10" t="inlineStr">
        <is>
          <t>да</t>
        </is>
      </c>
      <c r="L96" s="10" t="inlineStr">
        <is>
          <t>Добавлен в v0.4 (бриф v3, «Новое в городе»). v0.4: официальный сайт — thelionyard.co.uk (lionyard.co.uk не отвечает); новостей нет; data-name у каждого магазина</t>
        </is>
      </c>
      <c r="M96" s="10" t="inlineStr">
        <is>
          <t>https://www.thelionyard.co.uk/stores/</t>
        </is>
      </c>
      <c r="N96" s="10" t="inlineStr">
        <is>
          <t>разрешено</t>
        </is>
      </c>
      <c r="O96" s="10" t="inlineStr">
        <is>
          <t>2026-09-27</t>
        </is>
      </c>
      <c r="P96" s="10" t="inlineStr"/>
    </row>
    <row r="97">
      <c r="A97" s="10" t="inlineStr">
        <is>
          <t>S096</t>
        </is>
      </c>
      <c r="B97" s="10" t="inlineStr">
        <is>
          <t>Новое в городе</t>
        </is>
      </c>
      <c r="C97" s="10" t="inlineStr">
        <is>
          <t>The Grafton — магазины</t>
        </is>
      </c>
      <c r="D97" s="10" t="inlineStr">
        <is>
          <t>Торговый центр</t>
        </is>
      </c>
      <c r="E97" s="10" t="inlineStr">
        <is>
          <t>https://graftoncentre.co.uk/</t>
        </is>
      </c>
      <c r="F97" s="10" t="inlineStr">
        <is>
          <t>Новые арендаторы</t>
        </is>
      </c>
      <c r="G97" s="10" t="inlineStr">
        <is>
          <t>Центр</t>
        </is>
      </c>
      <c r="H97" s="10" t="inlineStr">
        <is>
          <t>HTML (список магазинов, сравнение)</t>
        </is>
      </c>
      <c r="I97" s="10" t="inlineStr">
        <is>
          <t>Еженедельно</t>
        </is>
      </c>
      <c r="J97" s="10" t="n">
        <v>1</v>
      </c>
      <c r="K97" s="10" t="inlineStr">
        <is>
          <t>да</t>
        </is>
      </c>
      <c r="L97" s="10" t="inlineStr">
        <is>
          <t>Добавлен в v0.4 (бриф v3, «Новое в городе»). v0.4: RSS /feed/ пуст; список /stores/</t>
        </is>
      </c>
      <c r="M97" s="10" t="inlineStr">
        <is>
          <t>https://graftoncentre.co.uk/stores/</t>
        </is>
      </c>
      <c r="N97" s="10" t="inlineStr">
        <is>
          <t>разрешено</t>
        </is>
      </c>
      <c r="O97" s="10" t="inlineStr">
        <is>
          <t>2026-09-27</t>
        </is>
      </c>
      <c r="P97" s="10" t="inlineStr"/>
    </row>
    <row r="98">
      <c r="A98" s="10" t="inlineStr">
        <is>
          <t>S097</t>
        </is>
      </c>
      <c r="B98" s="10" t="inlineStr">
        <is>
          <t>Новое в городе</t>
        </is>
      </c>
      <c r="C98" s="10" t="inlineStr">
        <is>
          <t>Cambridge BID — новости</t>
        </is>
      </c>
      <c r="D98" s="10" t="inlineStr">
        <is>
          <t>Организация (RSS)</t>
        </is>
      </c>
      <c r="E98" s="10" t="inlineStr">
        <is>
          <t>https://www.cambridgebid.co.uk/news</t>
        </is>
      </c>
      <c r="F98" s="10" t="inlineStr">
        <is>
          <t>Новости центра города, городские события</t>
        </is>
      </c>
      <c r="G98" s="10" t="inlineStr">
        <is>
          <t>Центр</t>
        </is>
      </c>
      <c r="H98" s="10" t="inlineStr">
        <is>
          <t>RSS (без Claude до решения)</t>
        </is>
      </c>
      <c r="I98" s="10" t="inlineStr">
        <is>
          <t>Еженедельно</t>
        </is>
      </c>
      <c r="J98" s="10" t="n">
        <v>1</v>
      </c>
      <c r="K98" s="10" t="inlineStr">
        <is>
          <t>да</t>
        </is>
      </c>
      <c r="L98" s="10" t="inlineStr">
        <is>
          <t>Добавлен в v0.4 (бриф v3, «Новое в городе»). v0.4: Squarespace; robots.txt закрывает сайт для ИИ-краулеров (anthropic-ai, GPTBot и др.) — наш User-Agent не в списке, но статьи в Claude не передаём до решения владельца</t>
        </is>
      </c>
      <c r="M98" s="10" t="inlineStr">
        <is>
          <t>https://www.cambridgebid.co.uk/news?format=rss</t>
        </is>
      </c>
      <c r="N98" s="10" t="inlineStr">
        <is>
          <t>разрешено</t>
        </is>
      </c>
      <c r="O98" s="10" t="inlineStr">
        <is>
          <t>2026-09-27</t>
        </is>
      </c>
      <c r="P98" s="10" t="inlineStr"/>
    </row>
    <row r="99">
      <c r="A99" s="10" t="inlineStr">
        <is>
          <t>S098</t>
        </is>
      </c>
      <c r="B99" s="10" t="inlineStr">
        <is>
          <t>Расширение географии (этап 5)</t>
        </is>
      </c>
      <c r="C99" s="10" t="inlineStr">
        <is>
          <t>South Cambridgeshire District Council</t>
        </is>
      </c>
      <c r="D99" s="10" t="inlineStr">
        <is>
          <t>Совет</t>
        </is>
      </c>
      <c r="E99" s="10" t="inlineStr">
        <is>
          <t>https://www.scambs.gov.uk</t>
        </is>
      </c>
      <c r="F99" s="10" t="inlineStr">
        <is>
          <t>Район South Cambridgeshire</t>
        </is>
      </c>
      <c r="G99" s="10" t="inlineStr">
        <is>
          <t>Час / Кембриджшир</t>
        </is>
      </c>
      <c r="H99" s="10" t="inlineStr">
        <is>
          <t>HTML</t>
        </is>
      </c>
      <c r="I99" s="10" t="inlineStr">
        <is>
          <t>Ежедневно</t>
        </is>
      </c>
      <c r="J99" s="10" t="n">
        <v>2</v>
      </c>
      <c r="K99" s="10" t="inlineStr">
        <is>
          <t>да</t>
        </is>
      </c>
      <c r="L99" s="10" t="inlineStr">
        <is>
          <t>Этап 5: отложен — страница /events есть, событийных данных нет Этап 6: не нужен — South Cambridgeshire DC: календарь — заседания совета, не публичные события</t>
        </is>
      </c>
      <c r="M99" s="10" t="inlineStr">
        <is>
          <t>https://www.scambs.gov.uk</t>
        </is>
      </c>
      <c r="N99" s="10" t="inlineStr">
        <is>
          <t>разрешено</t>
        </is>
      </c>
      <c r="O99" s="10" t="inlineStr">
        <is>
          <t>2026-09-28</t>
        </is>
      </c>
      <c r="P99" s="10" t="inlineStr"/>
    </row>
    <row r="100">
      <c r="A100" s="10" t="inlineStr">
        <is>
          <t>S099</t>
        </is>
      </c>
      <c r="B100" s="10" t="inlineStr">
        <is>
          <t>Расширение географии (этап 5)</t>
        </is>
      </c>
      <c r="C100" s="10" t="inlineStr">
        <is>
          <t>East Cambridgeshire District Council</t>
        </is>
      </c>
      <c r="D100" s="10" t="inlineStr">
        <is>
          <t>Совет</t>
        </is>
      </c>
      <c r="E100" s="10" t="inlineStr">
        <is>
          <t>https://www.eastcambs.gov.uk</t>
        </is>
      </c>
      <c r="F100" s="10" t="inlineStr">
        <is>
          <t>Район East Cambridgeshire (Ely, Soham)</t>
        </is>
      </c>
      <c r="G100" s="10" t="inlineStr">
        <is>
          <t>Час / Кембриджшир</t>
        </is>
      </c>
      <c r="H100" s="10" t="inlineStr">
        <is>
          <t>HTML</t>
        </is>
      </c>
      <c r="I100" s="10" t="inlineStr">
        <is>
          <t>Ежедневно</t>
        </is>
      </c>
      <c r="J100" s="10" t="n">
        <v>2</v>
      </c>
      <c r="K100" s="10" t="inlineStr">
        <is>
          <t>да</t>
        </is>
      </c>
      <c r="L100" s="10" t="inlineStr">
        <is>
          <t>Этап 5: отложен — Drupal, /events без структурированных данных Этап 6: не нужен — East Cambridgeshire DC: страница событий пуста</t>
        </is>
      </c>
      <c r="M100" s="10" t="inlineStr">
        <is>
          <t>https://eastcambs.gov.uk/</t>
        </is>
      </c>
      <c r="N100" s="10" t="inlineStr">
        <is>
          <t>разрешено</t>
        </is>
      </c>
      <c r="O100" s="10" t="inlineStr">
        <is>
          <t>2026-09-28</t>
        </is>
      </c>
      <c r="P100" s="10" t="inlineStr"/>
    </row>
    <row r="101">
      <c r="A101" s="19" t="inlineStr">
        <is>
          <t>S100</t>
        </is>
      </c>
      <c r="B101" s="10" t="inlineStr">
        <is>
          <t>Расширение географии (этап 5)</t>
        </is>
      </c>
      <c r="C101" s="10" t="inlineStr">
        <is>
          <t>Huntingdonshire District Council</t>
        </is>
      </c>
      <c r="D101" s="10" t="inlineStr">
        <is>
          <t>Совет</t>
        </is>
      </c>
      <c r="E101" s="10" t="inlineStr">
        <is>
          <t>https://www.huntingdonshire.gov.uk</t>
        </is>
      </c>
      <c r="F101" s="10" t="inlineStr">
        <is>
          <t>Район Huntingdonshire</t>
        </is>
      </c>
      <c r="G101" s="10" t="inlineStr">
        <is>
          <t>Час / Кембриджшир</t>
        </is>
      </c>
      <c r="H101" s="10" t="inlineStr">
        <is>
          <t>HTML</t>
        </is>
      </c>
      <c r="I101" s="10" t="inlineStr">
        <is>
          <t>Ежедневно</t>
        </is>
      </c>
      <c r="J101" s="10" t="n">
        <v>2</v>
      </c>
      <c r="K101" s="10" t="inlineStr">
        <is>
          <t>нет</t>
        </is>
      </c>
      <c r="L101" s="10" t="inlineStr">
        <is>
          <t>Этап 5: отложен — события Hinchingbrooke Country Park — через TicketSource; разбор HTML Этап 6: закрыт — Hinchingbrooke Country Park: события только на TicketSource (robots.txt отвечает 403 — считаем запретом) и в Facebook (не парсим); страница совета без дат — проверить на этапе 6b через поиск</t>
        </is>
      </c>
      <c r="M101" s="10" t="inlineStr">
        <is>
          <t>https://www.huntingdonshire.gov.uk</t>
        </is>
      </c>
      <c r="N101" s="10" t="inlineStr">
        <is>
          <t>разрешено</t>
        </is>
      </c>
      <c r="O101" s="10" t="inlineStr">
        <is>
          <t>2026-09-28</t>
        </is>
      </c>
      <c r="P101" s="10" t="inlineStr"/>
    </row>
    <row r="102">
      <c r="A102" s="19" t="inlineStr">
        <is>
          <t>S101</t>
        </is>
      </c>
      <c r="B102" s="10" t="inlineStr">
        <is>
          <t>Расширение географии (этап 5)</t>
        </is>
      </c>
      <c r="C102" s="10" t="inlineStr">
        <is>
          <t>Fenland District Council</t>
        </is>
      </c>
      <c r="D102" s="10" t="inlineStr">
        <is>
          <t>Совет</t>
        </is>
      </c>
      <c r="E102" s="10" t="inlineStr">
        <is>
          <t>https://www.fenland.gov.uk</t>
        </is>
      </c>
      <c r="F102" s="10" t="inlineStr">
        <is>
          <t>Район Fenland (Wisbech, March, Whittlesey, Chatteris)</t>
        </is>
      </c>
      <c r="G102" s="10" t="inlineStr">
        <is>
          <t>Час / Кембриджшир</t>
        </is>
      </c>
      <c r="I102" s="10" t="inlineStr">
        <is>
          <t>Ежедневно</t>
        </is>
      </c>
      <c r="J102" s="10" t="n">
        <v>2</v>
      </c>
      <c r="K102" s="10" t="inlineStr">
        <is>
          <t>нет</t>
        </is>
      </c>
      <c r="L102" s="10" t="inlineStr">
        <is>
          <t>Этап 5: закрыт — robots.txt отвечает 403</t>
        </is>
      </c>
      <c r="N102" s="10" t="inlineStr">
        <is>
          <t>—</t>
        </is>
      </c>
      <c r="O102" s="10" t="inlineStr">
        <is>
          <t>2026-09-28</t>
        </is>
      </c>
      <c r="P102" s="10" t="inlineStr"/>
    </row>
    <row r="103">
      <c r="A103" s="10" t="inlineStr">
        <is>
          <t>S102</t>
        </is>
      </c>
      <c r="B103" s="10" t="inlineStr">
        <is>
          <t>Расширение географии (этап 5)</t>
        </is>
      </c>
      <c r="C103" s="10" t="inlineStr">
        <is>
          <t>Peterborough City Council</t>
        </is>
      </c>
      <c r="D103" s="10" t="inlineStr">
        <is>
          <t>Совет</t>
        </is>
      </c>
      <c r="E103" s="10" t="inlineStr">
        <is>
          <t>https://www.peterborough.gov.uk</t>
        </is>
      </c>
      <c r="F103" s="10" t="inlineStr">
        <is>
          <t>Питерборо</t>
        </is>
      </c>
      <c r="G103" s="10" t="inlineStr">
        <is>
          <t>Час / Кембриджшир</t>
        </is>
      </c>
      <c r="H103" s="10" t="inlineStr">
        <is>
          <t>HTML</t>
        </is>
      </c>
      <c r="I103" s="10" t="inlineStr">
        <is>
          <t>Ежедневно</t>
        </is>
      </c>
      <c r="J103" s="10" t="n">
        <v>2</v>
      </c>
      <c r="K103" s="10" t="inlineStr">
        <is>
          <t>да</t>
        </is>
      </c>
      <c r="L103" s="10" t="inlineStr">
        <is>
          <t>Этап 5: не нужен — раздела событий нет (404)</t>
        </is>
      </c>
      <c r="M103" s="10" t="inlineStr">
        <is>
          <t>https://www.peterborough.gov.uk</t>
        </is>
      </c>
      <c r="N103" s="10" t="inlineStr">
        <is>
          <t>разрешено</t>
        </is>
      </c>
      <c r="O103" s="10" t="inlineStr">
        <is>
          <t>2026-09-28</t>
        </is>
      </c>
      <c r="P103" s="10" t="inlineStr"/>
    </row>
    <row r="104">
      <c r="A104" s="19" t="inlineStr">
        <is>
          <t>S103</t>
        </is>
      </c>
      <c r="B104" s="10" t="inlineStr">
        <is>
          <t>Расширение географии (этап 5)</t>
        </is>
      </c>
      <c r="C104" s="10" t="inlineStr">
        <is>
          <t>Ely City Council</t>
        </is>
      </c>
      <c r="D104" s="10" t="inlineStr">
        <is>
          <t>Городской совет</t>
        </is>
      </c>
      <c r="E104" s="10" t="inlineStr">
        <is>
          <t>https://www.cityofelycouncil.org.uk</t>
        </is>
      </c>
      <c r="F104" s="10" t="inlineStr">
        <is>
          <t>Ely</t>
        </is>
      </c>
      <c r="G104" s="10" t="inlineStr">
        <is>
          <t>Час / Кембриджшир</t>
        </is>
      </c>
      <c r="I104" s="10" t="inlineStr">
        <is>
          <t>Ежедневно</t>
        </is>
      </c>
      <c r="J104" s="10" t="n">
        <v>2</v>
      </c>
      <c r="K104" s="10" t="inlineStr">
        <is>
          <t>нет</t>
        </is>
      </c>
      <c r="L104" s="10" t="inlineStr">
        <is>
          <t>Этап 5: закрыт — cityofelycouncil.org.uk: robots.txt отвечает 403</t>
        </is>
      </c>
      <c r="N104" s="10" t="inlineStr">
        <is>
          <t>—</t>
        </is>
      </c>
      <c r="O104" s="10" t="inlineStr">
        <is>
          <t>2026-09-28</t>
        </is>
      </c>
      <c r="P104" s="10" t="inlineStr"/>
    </row>
    <row r="105">
      <c r="A105" s="19" t="inlineStr">
        <is>
          <t>S104</t>
        </is>
      </c>
      <c r="B105" s="10" t="inlineStr">
        <is>
          <t>Расширение географии (этап 5)</t>
        </is>
      </c>
      <c r="C105" s="10" t="inlineStr">
        <is>
          <t>St Ives Town Council</t>
        </is>
      </c>
      <c r="D105" s="10" t="inlineStr">
        <is>
          <t>Городской совет</t>
        </is>
      </c>
      <c r="E105" s="10" t="inlineStr">
        <is>
          <t>https://www.stivestowncouncil.gov.uk</t>
        </is>
      </c>
      <c r="F105" s="10" t="inlineStr">
        <is>
          <t>St Ives</t>
        </is>
      </c>
      <c r="G105" s="10" t="inlineStr">
        <is>
          <t>Час / Кембриджшир</t>
        </is>
      </c>
      <c r="I105" s="10" t="inlineStr">
        <is>
          <t>Ежедневно</t>
        </is>
      </c>
      <c r="J105" s="10" t="n">
        <v>2</v>
      </c>
      <c r="K105" s="10" t="inlineStr">
        <is>
          <t>нет</t>
        </is>
      </c>
      <c r="L105" s="10" t="inlineStr">
        <is>
          <t>Этап 5: закрыт — stivestowncouncil.gov.uk: robots.txt отвечает 403</t>
        </is>
      </c>
      <c r="N105" s="10" t="inlineStr">
        <is>
          <t>—</t>
        </is>
      </c>
      <c r="O105" s="10" t="inlineStr">
        <is>
          <t>2026-09-28</t>
        </is>
      </c>
      <c r="P105" s="10" t="inlineStr"/>
    </row>
    <row r="106">
      <c r="A106" s="34" t="inlineStr">
        <is>
          <t>S105</t>
        </is>
      </c>
      <c r="B106" s="10" t="inlineStr">
        <is>
          <t>Расширение географии (этап 5)</t>
        </is>
      </c>
      <c r="C106" s="10" t="inlineStr">
        <is>
          <t>St Neots Town Council</t>
        </is>
      </c>
      <c r="D106" s="10" t="inlineStr">
        <is>
          <t>Городской совет</t>
        </is>
      </c>
      <c r="E106" s="10" t="inlineStr">
        <is>
          <t>https://www.stneots-tc.gov.uk</t>
        </is>
      </c>
      <c r="F106" s="10" t="inlineStr">
        <is>
          <t>St Neots</t>
        </is>
      </c>
      <c r="G106" s="10" t="inlineStr">
        <is>
          <t>Час / Кембриджшир</t>
        </is>
      </c>
      <c r="H106" s="10" t="inlineStr">
        <is>
          <t>HTML</t>
        </is>
      </c>
      <c r="I106" s="10" t="inlineStr">
        <is>
          <t>Ежедневно</t>
        </is>
      </c>
      <c r="J106" s="10" t="n">
        <v>2</v>
      </c>
      <c r="K106" s="10" t="inlineStr">
        <is>
          <t>да</t>
        </is>
      </c>
      <c r="L106" s="10" t="inlineStr">
        <is>
          <t>Этап 5: отложен — WordPress council_events — разбор HTML Этап 6: не нужен — St Neots Town Council: 5–6 событий в год (Bands in the Park, Dragon Boat Race, включение огней), на страницах без дат — ловятся статьями Hunts Post (S116) Этап 6c: подключён — St Neots Town Council: помесячные страницы council_events → страница события (Date / Location / Time) Ошибочное прежнее решение: S105 (этап 6: «не нужен, 5–6 событий в год») — ошибочно: рынки Farm &amp; Craft дважды в месяц, лекции, прогулки — 18 будущих событий.</t>
        </is>
      </c>
      <c r="M106" s="10" t="inlineStr">
        <is>
          <t>https://www.stneots-tc.gov.uk</t>
        </is>
      </c>
      <c r="N106" s="10" t="inlineStr">
        <is>
          <t>разрешено</t>
        </is>
      </c>
      <c r="O106" s="10" t="inlineStr">
        <is>
          <t>2026-09-29</t>
        </is>
      </c>
      <c r="P106" s="10" t="inlineStr">
        <is>
          <t>события ведут к: продавец не определён — 2 соб.; Ticket Tailor — 1 соб.: программы нет</t>
        </is>
      </c>
    </row>
    <row r="107">
      <c r="A107" s="19" t="inlineStr">
        <is>
          <t>S106</t>
        </is>
      </c>
      <c r="B107" s="10" t="inlineStr">
        <is>
          <t>Расширение географии (этап 5)</t>
        </is>
      </c>
      <c r="C107" s="10" t="inlineStr">
        <is>
          <t>Huntingdon Town Council</t>
        </is>
      </c>
      <c r="D107" s="10" t="inlineStr">
        <is>
          <t>Городской совет</t>
        </is>
      </c>
      <c r="E107" s="10" t="inlineStr">
        <is>
          <t>https://www.huntingdontown.gov.uk/council_events/</t>
        </is>
      </c>
      <c r="F107" s="10" t="inlineStr">
        <is>
          <t>Huntingdon</t>
        </is>
      </c>
      <c r="G107" s="10" t="inlineStr">
        <is>
          <t>Час / Кембриджшир</t>
        </is>
      </c>
      <c r="I107" s="10" t="inlineStr">
        <is>
          <t>Ежедневно</t>
        </is>
      </c>
      <c r="J107" s="10" t="n">
        <v>2</v>
      </c>
      <c r="K107" s="10" t="inlineStr">
        <is>
          <t>нет</t>
        </is>
      </c>
      <c r="L107" s="10" t="inlineStr">
        <is>
          <t>Этап 5: закрыт — robots.txt отвечает 403</t>
        </is>
      </c>
      <c r="N107" s="10" t="inlineStr">
        <is>
          <t>—</t>
        </is>
      </c>
      <c r="O107" s="10" t="inlineStr">
        <is>
          <t>2026-09-28</t>
        </is>
      </c>
      <c r="P107" s="10" t="inlineStr"/>
    </row>
    <row r="108">
      <c r="A108" s="10" t="inlineStr">
        <is>
          <t>S107</t>
        </is>
      </c>
      <c r="B108" s="10" t="inlineStr">
        <is>
          <t>Расширение географии (этап 5)</t>
        </is>
      </c>
      <c r="C108" s="10" t="inlineStr">
        <is>
          <t>Ramsey Town Council</t>
        </is>
      </c>
      <c r="D108" s="10" t="inlineStr">
        <is>
          <t>Городской совет</t>
        </is>
      </c>
      <c r="E108" s="10" t="inlineStr">
        <is>
          <t>https://www.ramseytowncouncil.gov.uk</t>
        </is>
      </c>
      <c r="F108" s="10" t="inlineStr">
        <is>
          <t>Ramsey</t>
        </is>
      </c>
      <c r="G108" s="10" t="inlineStr">
        <is>
          <t>Час / Кембриджшир</t>
        </is>
      </c>
      <c r="H108" s="10" t="inlineStr">
        <is>
          <t>iCal</t>
        </is>
      </c>
      <c r="I108" s="10" t="inlineStr">
        <is>
          <t>Ежедневно</t>
        </is>
      </c>
      <c r="J108" s="10" t="n">
        <v>2</v>
      </c>
      <c r="K108" s="10" t="inlineStr">
        <is>
          <t>нет событий</t>
        </is>
      </c>
      <c r="L108" s="10" t="inlineStr">
        <is>
          <t>Этап 5: не нужен — iCal совета пуст</t>
        </is>
      </c>
      <c r="M108" s="10" t="inlineStr">
        <is>
          <t>https://www.ramseytowncouncil.gov.uk/feeds/ical/638856?nodeid=3007</t>
        </is>
      </c>
      <c r="N108" s="10" t="inlineStr">
        <is>
          <t>разрешено</t>
        </is>
      </c>
      <c r="O108" s="10" t="inlineStr">
        <is>
          <t>2026-09-28</t>
        </is>
      </c>
      <c r="P108" s="10" t="inlineStr"/>
    </row>
    <row r="109">
      <c r="A109" s="33" t="inlineStr">
        <is>
          <t>S108</t>
        </is>
      </c>
      <c r="B109" s="10" t="inlineStr">
        <is>
          <t>Расширение географии (этап 5)</t>
        </is>
      </c>
      <c r="C109" s="10" t="inlineStr">
        <is>
          <t>Wisbech Town Council</t>
        </is>
      </c>
      <c r="D109" s="10" t="inlineStr">
        <is>
          <t>Городской совет</t>
        </is>
      </c>
      <c r="E109" s="10" t="inlineStr">
        <is>
          <t>https://www.wisbechtowncouncil.gov.uk</t>
        </is>
      </c>
      <c r="F109" s="10" t="inlineStr">
        <is>
          <t>Wisbech</t>
        </is>
      </c>
      <c r="G109" s="10" t="inlineStr">
        <is>
          <t>Час / Кембриджшир</t>
        </is>
      </c>
      <c r="H109" s="10" t="inlineStr">
        <is>
          <t>iCal</t>
        </is>
      </c>
      <c r="I109" s="10" t="inlineStr">
        <is>
          <t>Ежедневно</t>
        </is>
      </c>
      <c r="J109" s="10" t="n">
        <v>2</v>
      </c>
      <c r="K109" s="10" t="inlineStr">
        <is>
          <t>да</t>
        </is>
      </c>
      <c r="L109" s="10" t="inlineStr">
        <is>
          <t>Этап 5: подключён — iCal совета без заседаний: городские события (иллюминация, ярмарки)</t>
        </is>
      </c>
      <c r="M109" s="10" t="inlineStr">
        <is>
          <t>https://www.wisbechtowncouncil.gov.uk/feeds/ical/638856?nodeid=2929</t>
        </is>
      </c>
      <c r="N109" s="10" t="inlineStr">
        <is>
          <t>разрешено</t>
        </is>
      </c>
      <c r="O109" s="10" t="inlineStr">
        <is>
          <t>2026-09-28</t>
        </is>
      </c>
      <c r="P109" s="10" t="inlineStr"/>
    </row>
    <row r="110">
      <c r="A110" s="10" t="inlineStr">
        <is>
          <t>S109</t>
        </is>
      </c>
      <c r="B110" s="10" t="inlineStr">
        <is>
          <t>Расширение географии (этап 5)</t>
        </is>
      </c>
      <c r="C110" s="10" t="inlineStr">
        <is>
          <t>March Town Council</t>
        </is>
      </c>
      <c r="D110" s="10" t="inlineStr">
        <is>
          <t>Городской совет</t>
        </is>
      </c>
      <c r="E110" s="10" t="inlineStr">
        <is>
          <t>https://www.marchtowncouncil.gov.uk</t>
        </is>
      </c>
      <c r="F110" s="10" t="inlineStr">
        <is>
          <t>March</t>
        </is>
      </c>
      <c r="G110" s="10" t="inlineStr">
        <is>
          <t>Час / Кембриджшир</t>
        </is>
      </c>
      <c r="H110" s="10" t="inlineStr">
        <is>
          <t>RSS</t>
        </is>
      </c>
      <c r="I110" s="10" t="inlineStr">
        <is>
          <t>Ежедневно</t>
        </is>
      </c>
      <c r="J110" s="10" t="n">
        <v>2</v>
      </c>
      <c r="K110" s="10" t="inlineStr">
        <is>
          <t>да</t>
        </is>
      </c>
      <c r="L110" s="10" t="inlineStr">
        <is>
          <t>Этап 5: не нужен — RSS — новости и заседания</t>
        </is>
      </c>
      <c r="M110" s="10" t="inlineStr">
        <is>
          <t>https://www.marchtowncouncil.gov.uk/feed/</t>
        </is>
      </c>
      <c r="N110" s="10" t="inlineStr">
        <is>
          <t>разрешено</t>
        </is>
      </c>
      <c r="O110" s="10" t="inlineStr">
        <is>
          <t>2026-09-28</t>
        </is>
      </c>
      <c r="P110" s="10" t="inlineStr"/>
    </row>
    <row r="111">
      <c r="A111" s="10" t="inlineStr">
        <is>
          <t>S110</t>
        </is>
      </c>
      <c r="B111" s="10" t="inlineStr">
        <is>
          <t>Расширение географии (этап 5)</t>
        </is>
      </c>
      <c r="C111" s="10" t="inlineStr">
        <is>
          <t>Chatteris Town Council</t>
        </is>
      </c>
      <c r="D111" s="10" t="inlineStr">
        <is>
          <t>Городской совет</t>
        </is>
      </c>
      <c r="E111" s="10" t="inlineStr">
        <is>
          <t>https://www.chatteristowncouncil.info</t>
        </is>
      </c>
      <c r="F111" s="10" t="inlineStr">
        <is>
          <t>Chatteris</t>
        </is>
      </c>
      <c r="G111" s="10" t="inlineStr">
        <is>
          <t>Час / Кембриджшир</t>
        </is>
      </c>
      <c r="H111" s="10" t="inlineStr">
        <is>
          <t>RSS</t>
        </is>
      </c>
      <c r="I111" s="10" t="inlineStr">
        <is>
          <t>Ежедневно</t>
        </is>
      </c>
      <c r="J111" s="10" t="n">
        <v>2</v>
      </c>
      <c r="K111" s="10" t="inlineStr">
        <is>
          <t>да</t>
        </is>
      </c>
      <c r="L111" s="10" t="inlineStr">
        <is>
          <t>Этап 5: не нужен — RSS — новости и заседания</t>
        </is>
      </c>
      <c r="M111" s="10" t="inlineStr">
        <is>
          <t>https://www.chatteristowncouncil.info/feed/</t>
        </is>
      </c>
      <c r="N111" s="10" t="inlineStr">
        <is>
          <t>разрешено</t>
        </is>
      </c>
      <c r="O111" s="10" t="inlineStr">
        <is>
          <t>2026-09-28</t>
        </is>
      </c>
      <c r="P111" s="10" t="inlineStr"/>
    </row>
    <row r="112">
      <c r="A112" s="10" t="inlineStr">
        <is>
          <t>S111</t>
        </is>
      </c>
      <c r="B112" s="10" t="inlineStr">
        <is>
          <t>Расширение географии (этап 5)</t>
        </is>
      </c>
      <c r="C112" s="10" t="inlineStr">
        <is>
          <t>Whittlesey Town Council</t>
        </is>
      </c>
      <c r="D112" s="10" t="inlineStr">
        <is>
          <t>Городской совет</t>
        </is>
      </c>
      <c r="E112" s="10" t="inlineStr">
        <is>
          <t>https://www.whittleseytowncouncil.gov.uk/whittlesey-guide-events/</t>
        </is>
      </c>
      <c r="F112" s="10" t="inlineStr">
        <is>
          <t>Whittlesey</t>
        </is>
      </c>
      <c r="G112" s="10" t="inlineStr">
        <is>
          <t>Час / Кембриджшир</t>
        </is>
      </c>
      <c r="H112" s="10" t="inlineStr">
        <is>
          <t>RSS</t>
        </is>
      </c>
      <c r="I112" s="10" t="inlineStr">
        <is>
          <t>Ежедневно</t>
        </is>
      </c>
      <c r="J112" s="10" t="n">
        <v>2</v>
      </c>
      <c r="K112" s="10" t="inlineStr">
        <is>
          <t>да</t>
        </is>
      </c>
      <c r="L112" s="10" t="inlineStr">
        <is>
          <t>Этап 5: отложен — WordPress, раздел событий — разбор HTML Этап 6: не нужен — Whittlesey Town Council: страницы событий без дат; Straw Bear — в recurring (R01), остальное — статьи Cambs Times (S117)</t>
        </is>
      </c>
      <c r="M112" s="10" t="inlineStr">
        <is>
          <t>https://www.whittleseytowncouncil.gov.uk/feed/</t>
        </is>
      </c>
      <c r="N112" s="10" t="inlineStr">
        <is>
          <t>разрешено</t>
        </is>
      </c>
      <c r="O112" s="10" t="inlineStr">
        <is>
          <t>2026-09-28</t>
        </is>
      </c>
      <c r="P112" s="10" t="inlineStr"/>
    </row>
    <row r="113">
      <c r="A113" s="19" t="inlineStr">
        <is>
          <t>S112</t>
        </is>
      </c>
      <c r="B113" s="10" t="inlineStr">
        <is>
          <t>Расширение географии (этап 5)</t>
        </is>
      </c>
      <c r="C113" s="10" t="inlineStr">
        <is>
          <t>Soham Town Council</t>
        </is>
      </c>
      <c r="D113" s="10" t="inlineStr">
        <is>
          <t>Городской совет</t>
        </is>
      </c>
      <c r="E113" s="10" t="inlineStr">
        <is>
          <t>https://www.soham-tc.gov.uk/council_events/</t>
        </is>
      </c>
      <c r="F113" s="10" t="inlineStr">
        <is>
          <t>Soham</t>
        </is>
      </c>
      <c r="G113" s="10" t="inlineStr">
        <is>
          <t>Час / Кембриджшир</t>
        </is>
      </c>
      <c r="I113" s="10" t="inlineStr">
        <is>
          <t>Ежедневно</t>
        </is>
      </c>
      <c r="J113" s="10" t="n">
        <v>2</v>
      </c>
      <c r="K113" s="10" t="inlineStr">
        <is>
          <t>нет</t>
        </is>
      </c>
      <c r="L113" s="10" t="inlineStr">
        <is>
          <t>Этап 5: закрыт — soham-tc.gov.uk: robots.txt отвечает 403</t>
        </is>
      </c>
      <c r="N113" s="10" t="inlineStr">
        <is>
          <t>—</t>
        </is>
      </c>
      <c r="O113" s="10" t="inlineStr">
        <is>
          <t>2026-09-28</t>
        </is>
      </c>
      <c r="P113" s="10" t="inlineStr"/>
    </row>
    <row r="114">
      <c r="A114" s="33" t="inlineStr">
        <is>
          <t>S113</t>
        </is>
      </c>
      <c r="B114" s="10" t="inlineStr">
        <is>
          <t>Расширение географии (этап 5)</t>
        </is>
      </c>
      <c r="C114" s="10" t="inlineStr">
        <is>
          <t>Visit Ely</t>
        </is>
      </c>
      <c r="D114" s="10" t="inlineStr">
        <is>
          <t>Туризм</t>
        </is>
      </c>
      <c r="E114" s="10" t="inlineStr">
        <is>
          <t>https://www.visitely.org.uk</t>
        </is>
      </c>
      <c r="F114" s="10" t="inlineStr">
        <is>
          <t>Ely</t>
        </is>
      </c>
      <c r="G114" s="10" t="inlineStr">
        <is>
          <t>Час / Кембриджшир</t>
        </is>
      </c>
      <c r="H114" s="10" t="inlineStr">
        <is>
          <t>RSS</t>
        </is>
      </c>
      <c r="I114" s="10" t="inlineStr">
        <is>
          <t>Ежедневно</t>
        </is>
      </c>
      <c r="J114" s="10" t="n">
        <v>2</v>
      </c>
      <c r="K114" s="10" t="inlineStr">
        <is>
          <t>да</t>
        </is>
      </c>
      <c r="L114" s="10" t="inlineStr">
        <is>
          <t>Этап 5: отложен — WordPress (API закрыт, 401); события — разбор HTML Этап 6: подключён — Visit Ely: /whats-on/ (JetEngine), дата начала и конца в карточке; площадка не указана — зона по городу Эли</t>
        </is>
      </c>
      <c r="M114" s="10" t="inlineStr">
        <is>
          <t>https://www.visitely.org.uk/feed/</t>
        </is>
      </c>
      <c r="N114" s="10" t="inlineStr">
        <is>
          <t>разрешено</t>
        </is>
      </c>
      <c r="O114" s="10" t="inlineStr">
        <is>
          <t>2026-09-28</t>
        </is>
      </c>
      <c r="P114" s="10" t="inlineStr">
        <is>
          <t>события ведут к: продавец не определён — 5 соб.; Eventbrite — 1 соб.: программа есть; Ticket Tailor — 1 соб.: программы нет</t>
        </is>
      </c>
    </row>
    <row r="115">
      <c r="A115" s="19" t="inlineStr">
        <is>
          <t>S114</t>
        </is>
      </c>
      <c r="B115" s="10" t="inlineStr">
        <is>
          <t>Расширение географии (этап 5)</t>
        </is>
      </c>
      <c r="C115" s="10" t="inlineStr">
        <is>
          <t>Visit Peterborough</t>
        </is>
      </c>
      <c r="D115" s="10" t="inlineStr">
        <is>
          <t>Туризм</t>
        </is>
      </c>
      <c r="E115" s="10" t="inlineStr">
        <is>
          <t>https://www.visitpeterborough.com</t>
        </is>
      </c>
      <c r="F115" s="10" t="inlineStr">
        <is>
          <t>Питерборо</t>
        </is>
      </c>
      <c r="G115" s="10" t="inlineStr">
        <is>
          <t>Час / Кембриджшир</t>
        </is>
      </c>
      <c r="I115" s="10" t="inlineStr">
        <is>
          <t>Ежедневно</t>
        </is>
      </c>
      <c r="J115" s="10" t="n">
        <v>2</v>
      </c>
      <c r="K115" s="10" t="inlineStr">
        <is>
          <t>нет</t>
        </is>
      </c>
      <c r="L115" s="10" t="inlineStr">
        <is>
          <t>Этап 5: закрыт — robots.txt отвечает 403</t>
        </is>
      </c>
      <c r="N115" s="10" t="inlineStr">
        <is>
          <t>—</t>
        </is>
      </c>
      <c r="O115" s="10" t="inlineStr">
        <is>
          <t>2026-09-28</t>
        </is>
      </c>
      <c r="P115" s="10" t="inlineStr"/>
    </row>
    <row r="116">
      <c r="A116" s="32" t="inlineStr">
        <is>
          <t>S115</t>
        </is>
      </c>
      <c r="B116" s="10" t="inlineStr">
        <is>
          <t>Расширение географии (этап 5)</t>
        </is>
      </c>
      <c r="C116" s="10" t="inlineStr">
        <is>
          <t>Visit Huntingdonshire</t>
        </is>
      </c>
      <c r="D116" s="10" t="inlineStr">
        <is>
          <t>Туризм</t>
        </is>
      </c>
      <c r="E116" s="10" t="inlineStr">
        <is>
          <t>https://www.discoverhuntingdonshire.co.uk</t>
        </is>
      </c>
      <c r="F116" s="10" t="inlineStr">
        <is>
          <t>Huntingdonshire</t>
        </is>
      </c>
      <c r="G116" s="10" t="inlineStr">
        <is>
          <t>Час / Кембриджшир</t>
        </is>
      </c>
      <c r="H116" s="10" t="inlineStr">
        <is>
          <t>HTML</t>
        </is>
      </c>
      <c r="I116" s="10" t="inlineStr">
        <is>
          <t>Ежедневно</t>
        </is>
      </c>
      <c r="J116" s="10" t="n">
        <v>2</v>
      </c>
      <c r="K116" s="10" t="inlineStr">
        <is>
          <t>да</t>
        </is>
      </c>
      <c r="L116" s="10" t="inlineStr">
        <is>
          <t>Этап 5: отложен — cPortals, календарь HTML Этап 6: отложен — Discover Huntingdonshire: афиша загружается скриптом, в HTML дат нет — этап 6b (поиск)</t>
        </is>
      </c>
      <c r="M116" s="10" t="inlineStr">
        <is>
          <t>https://www.discoverhuntingdonshire.co.uk</t>
        </is>
      </c>
      <c r="N116" s="10" t="inlineStr">
        <is>
          <t>разрешено</t>
        </is>
      </c>
      <c r="O116" s="10" t="inlineStr">
        <is>
          <t>2026-09-28</t>
        </is>
      </c>
      <c r="P116" s="10" t="inlineStr"/>
    </row>
    <row r="117">
      <c r="A117" s="32" t="inlineStr">
        <is>
          <t>S116</t>
        </is>
      </c>
      <c r="B117" s="10" t="inlineStr">
        <is>
          <t>Расширение географии (этап 5)</t>
        </is>
      </c>
      <c r="C117" s="10" t="inlineStr">
        <is>
          <t>Hunts Post</t>
        </is>
      </c>
      <c r="D117" s="10" t="inlineStr">
        <is>
          <t>СМИ</t>
        </is>
      </c>
      <c r="E117" s="10" t="inlineStr">
        <is>
          <t>https://www.huntspost.co.uk</t>
        </is>
      </c>
      <c r="F117" s="10" t="inlineStr">
        <is>
          <t>Huntingdonshire</t>
        </is>
      </c>
      <c r="G117" s="10" t="inlineStr">
        <is>
          <t>Час / Кембриджшир</t>
        </is>
      </c>
      <c r="H117" s="10" t="inlineStr">
        <is>
          <t>RSS</t>
        </is>
      </c>
      <c r="I117" s="10" t="inlineStr">
        <is>
          <t>Ежедневно</t>
        </is>
      </c>
      <c r="J117" s="10" t="n">
        <v>2</v>
      </c>
      <c r="K117" s="10" t="inlineStr">
        <is>
          <t>да</t>
        </is>
      </c>
      <c r="L117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7" s="10" t="inlineStr">
        <is>
          <t>http://www.huntspost.co.uk/things-to-do/rss/</t>
        </is>
      </c>
      <c r="N117" s="10" t="inlineStr">
        <is>
          <t>разрешено</t>
        </is>
      </c>
      <c r="O117" s="10" t="inlineStr">
        <is>
          <t>2026-09-28</t>
        </is>
      </c>
      <c r="P117" s="10" t="inlineStr">
        <is>
          <t>события ведут к: The Jockey Club (своя касса) — 2 соб.: программа есть; Eventbrite — 1 соб.: программа есть</t>
        </is>
      </c>
    </row>
    <row r="118">
      <c r="A118" s="32" t="inlineStr">
        <is>
          <t>S117</t>
        </is>
      </c>
      <c r="B118" s="10" t="inlineStr">
        <is>
          <t>Расширение географии (этап 5)</t>
        </is>
      </c>
      <c r="C118" s="10" t="inlineStr">
        <is>
          <t>Cambs Times</t>
        </is>
      </c>
      <c r="D118" s="10" t="inlineStr">
        <is>
          <t>СМИ</t>
        </is>
      </c>
      <c r="E118" s="10" t="inlineStr">
        <is>
          <t>https://www.cambstimes.co.uk</t>
        </is>
      </c>
      <c r="F118" s="10" t="inlineStr">
        <is>
          <t>Fenland: March, Whittlesey, Chatteris</t>
        </is>
      </c>
      <c r="G118" s="10" t="inlineStr">
        <is>
          <t>Час / Кембриджшир</t>
        </is>
      </c>
      <c r="H118" s="10" t="inlineStr">
        <is>
          <t>HTML</t>
        </is>
      </c>
      <c r="I118" s="10" t="inlineStr">
        <is>
          <t>Ежедневно</t>
        </is>
      </c>
      <c r="J118" s="10" t="n">
        <v>2</v>
      </c>
      <c r="K118" s="10" t="inlineStr">
        <is>
          <t>да</t>
        </is>
      </c>
      <c r="L118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8" s="10" t="inlineStr">
        <is>
          <t>https://www.cambstimes.co.uk</t>
        </is>
      </c>
      <c r="N118" s="10" t="inlineStr">
        <is>
          <t>разрешено</t>
        </is>
      </c>
      <c r="O118" s="10" t="inlineStr">
        <is>
          <t>2026-09-28</t>
        </is>
      </c>
      <c r="P118" s="10" t="inlineStr"/>
    </row>
    <row r="119">
      <c r="A119" s="32" t="inlineStr">
        <is>
          <t>S118</t>
        </is>
      </c>
      <c r="B119" s="10" t="inlineStr">
        <is>
          <t>Расширение географии (этап 5)</t>
        </is>
      </c>
      <c r="C119" s="10" t="inlineStr">
        <is>
          <t>Wisbech Standard</t>
        </is>
      </c>
      <c r="D119" s="10" t="inlineStr">
        <is>
          <t>СМИ</t>
        </is>
      </c>
      <c r="E119" s="10" t="inlineStr">
        <is>
          <t>https://www.wisbechstandard.co.uk</t>
        </is>
      </c>
      <c r="F119" s="10" t="inlineStr">
        <is>
          <t>Wisbech</t>
        </is>
      </c>
      <c r="G119" s="10" t="inlineStr">
        <is>
          <t>Час / Кембриджшир</t>
        </is>
      </c>
      <c r="H119" s="10" t="inlineStr">
        <is>
          <t>HTML</t>
        </is>
      </c>
      <c r="I119" s="10" t="inlineStr">
        <is>
          <t>Ежедневно</t>
        </is>
      </c>
      <c r="J119" s="10" t="n">
        <v>2</v>
      </c>
      <c r="K119" s="10" t="inlineStr">
        <is>
          <t>да</t>
        </is>
      </c>
      <c r="L119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19" s="10" t="inlineStr">
        <is>
          <t>https://www.wisbechstandard.co.uk</t>
        </is>
      </c>
      <c r="N119" s="10" t="inlineStr">
        <is>
          <t>разрешено</t>
        </is>
      </c>
      <c r="O119" s="10" t="inlineStr">
        <is>
          <t>2026-09-28</t>
        </is>
      </c>
      <c r="P119" s="10" t="inlineStr"/>
    </row>
    <row r="120">
      <c r="A120" s="32" t="inlineStr">
        <is>
          <t>S119</t>
        </is>
      </c>
      <c r="B120" s="10" t="inlineStr">
        <is>
          <t>Расширение географии (этап 5)</t>
        </is>
      </c>
      <c r="C120" s="10" t="inlineStr">
        <is>
          <t>Ely Standard</t>
        </is>
      </c>
      <c r="D120" s="10" t="inlineStr">
        <is>
          <t>СМИ</t>
        </is>
      </c>
      <c r="E120" s="10" t="inlineStr">
        <is>
          <t>https://www.elystandard.co.uk</t>
        </is>
      </c>
      <c r="F120" s="10" t="inlineStr">
        <is>
          <t>Ely</t>
        </is>
      </c>
      <c r="G120" s="10" t="inlineStr">
        <is>
          <t>Час / Кембриджшир</t>
        </is>
      </c>
      <c r="H120" s="10" t="inlineStr">
        <is>
          <t>HTML</t>
        </is>
      </c>
      <c r="I120" s="10" t="inlineStr">
        <is>
          <t>Ежедневно</t>
        </is>
      </c>
      <c r="J120" s="10" t="n">
        <v>2</v>
      </c>
      <c r="K120" s="10" t="inlineStr">
        <is>
          <t>да</t>
        </is>
      </c>
      <c r="L120" s="10" t="inlineStr">
        <is>
          <t>Этап 5: нужно решение — 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  <c r="M120" s="10" t="inlineStr">
        <is>
          <t>https://www.elystandard.co.uk</t>
        </is>
      </c>
      <c r="N120" s="10" t="inlineStr">
        <is>
          <t>разрешено</t>
        </is>
      </c>
      <c r="O120" s="10" t="inlineStr">
        <is>
          <t>2026-09-28</t>
        </is>
      </c>
      <c r="P120" s="10" t="inlineStr">
        <is>
          <t>события ведут к: TicketSource — 1 соб.: программы нет</t>
        </is>
      </c>
    </row>
    <row r="121">
      <c r="A121" s="10" t="inlineStr">
        <is>
          <t>S120</t>
        </is>
      </c>
      <c r="B121" s="10" t="inlineStr">
        <is>
          <t>Расширение географии (этап 5)</t>
        </is>
      </c>
      <c r="C121" s="10" t="inlineStr">
        <is>
          <t>Peterborough Cathedral</t>
        </is>
      </c>
      <c r="D121" s="10" t="inlineStr">
        <is>
          <t>Площадка</t>
        </is>
      </c>
      <c r="E121" s="10" t="inlineStr">
        <is>
          <t>https://peterborough-cathedral.org.uk</t>
        </is>
      </c>
      <c r="F121" s="10" t="inlineStr">
        <is>
          <t>Питерборо</t>
        </is>
      </c>
      <c r="G121" s="10" t="inlineStr">
        <is>
          <t>Час / Кембриджшир</t>
        </is>
      </c>
      <c r="I121" s="10" t="inlineStr">
        <is>
          <t>Ежедневно</t>
        </is>
      </c>
      <c r="J121" s="10" t="n">
        <v>2</v>
      </c>
      <c r="K121" s="10" t="inlineStr">
        <is>
          <t>нет</t>
        </is>
      </c>
      <c r="L121" s="10" t="inlineStr">
        <is>
          <t>Этап 5: не нужен — HTTP 202 (бот-защита); концерты собора есть на Ents24/Skiddle (S128/S129)</t>
        </is>
      </c>
      <c r="N121" s="10" t="inlineStr">
        <is>
          <t>—</t>
        </is>
      </c>
      <c r="O121" s="10" t="inlineStr">
        <is>
          <t>2026-09-28</t>
        </is>
      </c>
      <c r="P121" s="10" t="inlineStr"/>
    </row>
    <row r="122">
      <c r="A122" s="10" t="inlineStr">
        <is>
          <t>S121</t>
        </is>
      </c>
      <c r="B122" s="10" t="inlineStr">
        <is>
          <t>Расширение географии (этап 5)</t>
        </is>
      </c>
      <c r="C122" s="10" t="inlineStr">
        <is>
          <t>Key Theatre (Peterborough)</t>
        </is>
      </c>
      <c r="D122" s="10" t="inlineStr">
        <is>
          <t>Площадка</t>
        </is>
      </c>
      <c r="E122" s="10" t="inlineStr">
        <is>
          <t>https://keytheatre-peterborough.com</t>
        </is>
      </c>
      <c r="F122" s="10" t="inlineStr">
        <is>
          <t>Питерборо</t>
        </is>
      </c>
      <c r="G122" s="10" t="inlineStr">
        <is>
          <t>Час / Кембриджшир</t>
        </is>
      </c>
      <c r="H122" s="10" t="inlineStr">
        <is>
          <t>HTML</t>
        </is>
      </c>
      <c r="I122" s="10" t="inlineStr">
        <is>
          <t>Ежедневно</t>
        </is>
      </c>
      <c r="J122" s="10" t="n">
        <v>2</v>
      </c>
      <c r="K122" s="10" t="inlineStr">
        <is>
          <t>да</t>
        </is>
      </c>
      <c r="L122" s="10" t="inlineStr">
        <is>
          <t>Этап 5: не нужен — покрыт Ents24/Skiddle по городу (S128/S129)</t>
        </is>
      </c>
      <c r="M122" s="10" t="inlineStr">
        <is>
          <t>https://keytheatre-peterborough.com</t>
        </is>
      </c>
      <c r="N122" s="10" t="inlineStr">
        <is>
          <t>разрешено</t>
        </is>
      </c>
      <c r="O122" s="10" t="inlineStr">
        <is>
          <t>2026-09-28</t>
        </is>
      </c>
      <c r="P122" s="10" t="inlineStr"/>
    </row>
    <row r="123">
      <c r="A123" s="10" t="inlineStr">
        <is>
          <t>S122</t>
        </is>
      </c>
      <c r="B123" s="10" t="inlineStr">
        <is>
          <t>Расширение географии (этап 5)</t>
        </is>
      </c>
      <c r="C123" s="10" t="inlineStr">
        <is>
          <t>New Theatre Peterborough</t>
        </is>
      </c>
      <c r="D123" s="10" t="inlineStr">
        <is>
          <t>Площадка</t>
        </is>
      </c>
      <c r="E123" s="10" t="inlineStr">
        <is>
          <t>https://www.newtheatre-peterborough.com</t>
        </is>
      </c>
      <c r="F123" s="10" t="inlineStr">
        <is>
          <t>Питерборо</t>
        </is>
      </c>
      <c r="G123" s="10" t="inlineStr">
        <is>
          <t>Час / Кембриджшир</t>
        </is>
      </c>
      <c r="H123" s="10" t="inlineStr">
        <is>
          <t>HTML</t>
        </is>
      </c>
      <c r="I123" s="10" t="inlineStr">
        <is>
          <t>Ежедневно</t>
        </is>
      </c>
      <c r="J123" s="10" t="n">
        <v>2</v>
      </c>
      <c r="K123" s="10" t="inlineStr">
        <is>
          <t>да</t>
        </is>
      </c>
      <c r="L123" s="10" t="inlineStr">
        <is>
          <t>Этап 5: не нужен — покрыт Ents24 по городу (S128)</t>
        </is>
      </c>
      <c r="M123" s="10" t="inlineStr">
        <is>
          <t>https://newtheatre-peterborough.com/</t>
        </is>
      </c>
      <c r="N123" s="10" t="inlineStr">
        <is>
          <t>разрешено</t>
        </is>
      </c>
      <c r="O123" s="10" t="inlineStr">
        <is>
          <t>2026-09-28</t>
        </is>
      </c>
      <c r="P123" s="10" t="inlineStr"/>
    </row>
    <row r="124">
      <c r="A124" s="33" t="inlineStr">
        <is>
          <t>S123</t>
        </is>
      </c>
      <c r="B124" s="10" t="inlineStr">
        <is>
          <t>Расширение географии (этап 5)</t>
        </is>
      </c>
      <c r="C124" s="10" t="inlineStr">
        <is>
          <t>Peterborough United — домашние матчи</t>
        </is>
      </c>
      <c r="D124" s="10" t="inlineStr">
        <is>
          <t>Клуб</t>
        </is>
      </c>
      <c r="E124" s="10" t="inlineStr">
        <is>
          <t>https://www.theposh.com/matches/fixtures</t>
        </is>
      </c>
      <c r="F124" s="10" t="inlineStr">
        <is>
          <t>Питерборо</t>
        </is>
      </c>
      <c r="G124" s="10" t="inlineStr">
        <is>
          <t>Час / Кембриджшир</t>
        </is>
      </c>
      <c r="H124" s="10" t="inlineStr">
        <is>
          <t>iCal</t>
        </is>
      </c>
      <c r="I124" s="10" t="inlineStr">
        <is>
          <t>Ежедневно</t>
        </is>
      </c>
      <c r="J124" s="10" t="n">
        <v>2</v>
      </c>
      <c r="K124" s="10" t="inlineStr">
        <is>
          <t>да</t>
        </is>
      </c>
      <c r="L124" s="10" t="inlineStr">
        <is>
          <t>Этап 5: подключён — iCal fixtur.es, домашние матчи Этап 7c: ссылка календаря — theposh.com/matches/fixtures (прежняя /fixtures отвечает 404, нашла проверка ссылок выпуска).</t>
        </is>
      </c>
      <c r="M124" s="10" t="inlineStr">
        <is>
          <t>https://outlook.live.com/owa/?rru=addsubscription&amp;name=Peterborough+United+FC&amp;url=webcal://ics.fixtur.es/v2/home/peterborough-united-fc.ics</t>
        </is>
      </c>
      <c r="N124" s="10" t="inlineStr">
        <is>
          <t>разрешено</t>
        </is>
      </c>
      <c r="O124" s="10" t="inlineStr">
        <is>
          <t>2026-09-30</t>
        </is>
      </c>
      <c r="P124" s="10" t="inlineStr">
        <is>
          <t>события ведут к: продавец не определён — 2 соб.</t>
        </is>
      </c>
    </row>
    <row r="125">
      <c r="A125" s="10" t="inlineStr">
        <is>
          <t>S124</t>
        </is>
      </c>
      <c r="B125" s="10" t="inlineStr">
        <is>
          <t>Расширение географии (этап 5)</t>
        </is>
      </c>
      <c r="C125" s="10" t="inlineStr">
        <is>
          <t>Royston — Town Council / события</t>
        </is>
      </c>
      <c r="D125" s="10" t="inlineStr">
        <is>
          <t>Городской совет</t>
        </is>
      </c>
      <c r="E125" s="10" t="inlineStr">
        <is>
          <t>https://www.roystontown.uk</t>
        </is>
      </c>
      <c r="F125" s="10" t="inlineStr">
        <is>
          <t>Royston (Herts)</t>
        </is>
      </c>
      <c r="G125" s="10" t="inlineStr">
        <is>
          <t>Час / Кембриджшир</t>
        </is>
      </c>
      <c r="H125" s="10" t="inlineStr">
        <is>
          <t>RSS</t>
        </is>
      </c>
      <c r="I125" s="10" t="inlineStr">
        <is>
          <t>Ежедневно</t>
        </is>
      </c>
      <c r="J125" s="10" t="n">
        <v>2</v>
      </c>
      <c r="K125" s="10" t="inlineStr">
        <is>
          <t>да</t>
        </is>
      </c>
      <c r="L125" s="10" t="inlineStr">
        <is>
          <t>Этап 5: не нужен — Royston — через Skiddle/Ents24 по городу (S128/S129)</t>
        </is>
      </c>
      <c r="M125" s="10" t="inlineStr">
        <is>
          <t>https://www.roystontown.uk/feed/</t>
        </is>
      </c>
      <c r="N125" s="10" t="inlineStr">
        <is>
          <t>разрешено</t>
        </is>
      </c>
      <c r="O125" s="10" t="inlineStr">
        <is>
          <t>2026-09-28</t>
        </is>
      </c>
      <c r="P125" s="10" t="inlineStr"/>
    </row>
    <row r="126">
      <c r="A126" s="10" t="inlineStr">
        <is>
          <t>S125</t>
        </is>
      </c>
      <c r="B126" s="10" t="inlineStr">
        <is>
          <t>Расширение географии (этап 5)</t>
        </is>
      </c>
      <c r="C126" s="10" t="inlineStr">
        <is>
          <t>Haverhill — Arts Centre / Town Council</t>
        </is>
      </c>
      <c r="D126" s="10" t="inlineStr">
        <is>
          <t>Площадка</t>
        </is>
      </c>
      <c r="E126" s="10" t="inlineStr">
        <is>
          <t>https://www.haverhillartscentre.co.uk</t>
        </is>
      </c>
      <c r="F126" s="10" t="inlineStr">
        <is>
          <t>Haverhill (Suffolk)</t>
        </is>
      </c>
      <c r="G126" s="10" t="inlineStr">
        <is>
          <t>Час / Кембриджшир</t>
        </is>
      </c>
      <c r="H126" s="10" t="inlineStr">
        <is>
          <t>RSS</t>
        </is>
      </c>
      <c r="I126" s="10" t="inlineStr">
        <is>
          <t>Ежедневно</t>
        </is>
      </c>
      <c r="J126" s="10" t="n">
        <v>2</v>
      </c>
      <c r="K126" s="10" t="inlineStr">
        <is>
          <t>да</t>
        </is>
      </c>
      <c r="L126" s="10" t="inlineStr">
        <is>
          <t>Этап 5: не нужен — Haverhill Arts Centre — через Ents24 по городу (S128)</t>
        </is>
      </c>
      <c r="M126" s="10" t="inlineStr">
        <is>
          <t>https://haverhillartscentre.co.uk/haverhill-arts-centre-homepage/feed/</t>
        </is>
      </c>
      <c r="N126" s="10" t="inlineStr">
        <is>
          <t>разрешено</t>
        </is>
      </c>
      <c r="O126" s="10" t="inlineStr">
        <is>
          <t>2026-09-28</t>
        </is>
      </c>
      <c r="P126" s="10" t="inlineStr"/>
    </row>
    <row r="127">
      <c r="A127" s="34" t="inlineStr">
        <is>
          <t>S126</t>
        </is>
      </c>
      <c r="B127" s="10" t="inlineStr">
        <is>
          <t>Расширение географии (этап 5)</t>
        </is>
      </c>
      <c r="C127" s="10" t="inlineStr">
        <is>
          <t>Bury St Edmunds — Apex / Theatre Royal / Visit Bury</t>
        </is>
      </c>
      <c r="D127" s="10" t="inlineStr">
        <is>
          <t>Площадка</t>
        </is>
      </c>
      <c r="E127" s="10" t="inlineStr">
        <is>
          <t>https://www.theapex.co.uk</t>
        </is>
      </c>
      <c r="F127" s="10" t="inlineStr">
        <is>
          <t>Бери-Сент-Эдмундс (Suffolk)</t>
        </is>
      </c>
      <c r="G127" s="10" t="inlineStr">
        <is>
          <t>Час / Кембриджшир</t>
        </is>
      </c>
      <c r="H127" s="10" t="inlineStr">
        <is>
          <t>RSS</t>
        </is>
      </c>
      <c r="I127" s="10" t="inlineStr">
        <is>
          <t>Ежедневно</t>
        </is>
      </c>
      <c r="J127" s="10" t="n">
        <v>2</v>
      </c>
      <c r="K127" s="10" t="inlineStr">
        <is>
          <t>да</t>
        </is>
      </c>
      <c r="L127" s="10" t="inlineStr">
        <is>
          <t>Этап 5: не нужен — Apex и Theatre Royal — через Ents24 по городу (S128) Этап 6: подключён — Theatre Royal Bury St Edmunds: список — REST WordPress /wp-json/wp/v2/events (~33), дата и цена — со страниц спектаклей; RSS /feed/ — новости театра, не афиша</t>
        </is>
      </c>
      <c r="M127" s="10" t="inlineStr">
        <is>
          <t>https://theatreroyal.org/feed/</t>
        </is>
      </c>
      <c r="N127" s="10" t="inlineStr">
        <is>
          <t>разрешено</t>
        </is>
      </c>
      <c r="O127" s="10" t="inlineStr">
        <is>
          <t>2026-09-28</t>
        </is>
      </c>
      <c r="P127" s="10" t="inlineStr">
        <is>
          <t>события ведут к: Spektrix (касса площадки) — 5 соб.: программы нет</t>
        </is>
      </c>
    </row>
    <row r="128">
      <c r="A128" s="19" t="inlineStr">
        <is>
          <t>S127</t>
        </is>
      </c>
      <c r="B128" s="10" t="inlineStr">
        <is>
          <t>Расширение географии (этап 5)</t>
        </is>
      </c>
      <c r="C128" s="10" t="inlineStr">
        <is>
          <t>Saffron Walden / Newmarket — Town Councils</t>
        </is>
      </c>
      <c r="D128" s="10" t="inlineStr">
        <is>
          <t>Городской совет</t>
        </is>
      </c>
      <c r="E128" s="10" t="inlineStr">
        <is>
          <t>https://www.saffronwalden.gov.uk</t>
        </is>
      </c>
      <c r="F128" s="10" t="inlineStr">
        <is>
          <t>Saffron Walden, Newmarket</t>
        </is>
      </c>
      <c r="G128" s="10" t="inlineStr">
        <is>
          <t>Час / Кембриджшир</t>
        </is>
      </c>
      <c r="H128" s="10" t="inlineStr">
        <is>
          <t>iCal</t>
        </is>
      </c>
      <c r="I128" s="10" t="inlineStr">
        <is>
          <t>Ежедневно</t>
        </is>
      </c>
      <c r="J128" s="10" t="n">
        <v>2</v>
      </c>
      <c r="K128" s="10" t="inlineStr">
        <is>
          <t>да</t>
        </is>
      </c>
      <c r="L128" s="10" t="inlineStr">
        <is>
          <t>Этап 5: закрыт — saffronwalden.gov.uk — 403; newmarket.gov.uk — robots.txt недоступен</t>
        </is>
      </c>
      <c r="M128" s="10" t="inlineStr">
        <is>
          <t>https://www.newmarket.gov.uk/events/?ical=1</t>
        </is>
      </c>
      <c r="N128" s="10" t="inlineStr">
        <is>
          <t>разрешено</t>
        </is>
      </c>
      <c r="O128" s="10" t="inlineStr">
        <is>
          <t>2026-09-28</t>
        </is>
      </c>
      <c r="P128" s="10" t="inlineStr"/>
    </row>
    <row r="129">
      <c r="A129" s="33" t="inlineStr">
        <is>
          <t>S128</t>
        </is>
      </c>
      <c r="B129" s="10" t="inlineStr">
        <is>
          <t>Расширение географии (этап 5)</t>
        </is>
      </c>
      <c r="C129" s="10" t="inlineStr">
        <is>
          <t>Ents24 — города зоны</t>
        </is>
      </c>
      <c r="D129" s="10" t="inlineStr">
        <is>
          <t>Агрегатор</t>
        </is>
      </c>
      <c r="E129" s="10" t="inlineStr">
        <is>
          <t>https://www.ents24.com/whatson/peterborough</t>
        </is>
      </c>
      <c r="F129" s="10" t="inlineStr">
        <is>
          <t>Питерборо, Ely, Huntingdon, St Neots, St Ives, Wisbech, March, Бери, Saffron Walden, Ньюмаркет, Royston, Haverhill</t>
        </is>
      </c>
      <c r="G129" s="10" t="inlineStr">
        <is>
          <t>Час / Кембриджшир</t>
        </is>
      </c>
      <c r="H129" s="10" t="inlineStr">
        <is>
          <t>JSON-LD</t>
        </is>
      </c>
      <c r="I129" s="10" t="inlineStr">
        <is>
          <t>Ежедневно</t>
        </is>
      </c>
      <c r="J129" s="10" t="n">
        <v>2</v>
      </c>
      <c r="K129" s="10" t="inlineStr">
        <is>
          <t>да</t>
        </is>
      </c>
      <c r="L129" s="10" t="inlineStr">
        <is>
          <t>Этап 5: подключён — Ents24: 12 страниц городов зоны (расширение S006)</t>
        </is>
      </c>
      <c r="M129" s="10" t="inlineStr">
        <is>
          <t>https://www.ents24.com/whatson/peterborough</t>
        </is>
      </c>
      <c r="N129" s="10" t="inlineStr">
        <is>
          <t>разрешено</t>
        </is>
      </c>
      <c r="O129" s="10" t="inlineStr">
        <is>
          <t>2026-09-28</t>
        </is>
      </c>
      <c r="P129" s="10" t="inlineStr">
        <is>
          <t>события ведут к: продавец не определён — 15 соб.; The Jockey Club (своя касса) — 1 соб.: программа есть</t>
        </is>
      </c>
    </row>
    <row r="130">
      <c r="A130" s="33" t="inlineStr">
        <is>
          <t>S129</t>
        </is>
      </c>
      <c r="B130" s="10" t="inlineStr">
        <is>
          <t>Расширение географии (этап 5)</t>
        </is>
      </c>
      <c r="C130" s="10" t="inlineStr">
        <is>
          <t>Skiddle — города зоны</t>
        </is>
      </c>
      <c r="D130" s="10" t="inlineStr">
        <is>
          <t>Агрегатор</t>
        </is>
      </c>
      <c r="E130" s="10" t="inlineStr">
        <is>
          <t>https://www.skiddle.com/whats-on/Peterborough/</t>
        </is>
      </c>
      <c r="F130" s="10" t="inlineStr">
        <is>
          <t>те же 12 городов</t>
        </is>
      </c>
      <c r="G130" s="10" t="inlineStr">
        <is>
          <t>Час / Кембриджшир</t>
        </is>
      </c>
      <c r="H130" s="10" t="inlineStr">
        <is>
          <t>JSON-LD</t>
        </is>
      </c>
      <c r="I130" s="10" t="inlineStr">
        <is>
          <t>Ежедневно</t>
        </is>
      </c>
      <c r="J130" s="10" t="n">
        <v>2</v>
      </c>
      <c r="K130" s="10" t="inlineStr">
        <is>
          <t>да</t>
        </is>
      </c>
      <c r="L130" s="10" t="inlineStr">
        <is>
          <t>Этап 5: подключён — Skiddle: 12 страниц городов зоны (расширение S007)</t>
        </is>
      </c>
      <c r="M130" s="10" t="inlineStr">
        <is>
          <t>https://www.skiddle.com/whats-on/Peterborough/</t>
        </is>
      </c>
      <c r="N130" s="10" t="inlineStr">
        <is>
          <t>разрешено</t>
        </is>
      </c>
      <c r="O130" s="10" t="inlineStr">
        <is>
          <t>2026-09-28</t>
        </is>
      </c>
      <c r="P130" s="10" t="inlineStr">
        <is>
          <t>Skiddle: есть — Skiddle Ticket Affiliate Programme (своя)</t>
        </is>
      </c>
    </row>
    <row r="131">
      <c r="A131" s="33" t="inlineStr">
        <is>
          <t>S131</t>
        </is>
      </c>
      <c r="B131" s="10" t="inlineStr">
        <is>
          <t>Семейные источники</t>
        </is>
      </c>
      <c r="C131" s="10" t="inlineStr">
        <is>
          <t>Cambridge Past, Present &amp; Future (Wandlebury, Leper Chapel, Hinxton Watermill…)</t>
        </is>
      </c>
      <c r="D131" s="10" t="inlineStr">
        <is>
          <t>Организатор</t>
        </is>
      </c>
      <c r="E131" s="10" t="inlineStr">
        <is>
          <t>https://cambridgeppf.org/events-list/</t>
        </is>
      </c>
      <c r="F131" s="10" t="inlineStr"/>
      <c r="G131" s="10" t="inlineStr">
        <is>
          <t>До 30 мин</t>
        </is>
      </c>
      <c r="H131" s="10" t="inlineStr"/>
      <c r="I131" s="10" t="inlineStr">
        <is>
          <t>Ежедневно</t>
        </is>
      </c>
      <c r="J131" s="10" t="n">
        <v>2</v>
      </c>
      <c r="K131" s="10" t="inlineStr">
        <is>
          <t>да</t>
        </is>
      </c>
      <c r="L131" s="10" t="inlineStr">
        <is>
          <t>Этап 6: подключён — Cambridge Past, Present &amp; Future: Wandlebury, Leper Chapel, Hinxton Watermill, Coton, Bourn Windmill, Grantchester — список /events-list/ (Eventin), один запрос</t>
        </is>
      </c>
      <c r="O131" s="10" t="inlineStr">
        <is>
          <t>2026-09-28</t>
        </is>
      </c>
      <c r="P131" s="10" t="inlineStr">
        <is>
          <t>события ведут к: продавец не определён — 11 соб.</t>
        </is>
      </c>
    </row>
    <row r="132">
      <c r="A132" s="33" t="inlineStr">
        <is>
          <t>S130</t>
        </is>
      </c>
      <c r="B132" s="10" t="inlineStr">
        <is>
          <t>Семейные источники</t>
        </is>
      </c>
      <c r="C132" s="10" t="inlineStr">
        <is>
          <t>Museum of Cambridge</t>
        </is>
      </c>
      <c r="D132" s="10" t="inlineStr">
        <is>
          <t>Музей</t>
        </is>
      </c>
      <c r="E132" s="10" t="inlineStr">
        <is>
          <t>https://www.museumofcambridge.org.uk/events/</t>
        </is>
      </c>
      <c r="F132" s="10" t="inlineStr"/>
      <c r="G132" s="10" t="inlineStr">
        <is>
          <t>Центр</t>
        </is>
      </c>
      <c r="H132" s="10" t="inlineStr"/>
      <c r="I132" s="10" t="inlineStr">
        <is>
          <t>Ежедневно</t>
        </is>
      </c>
      <c r="J132" s="10" t="n">
        <v>2</v>
      </c>
      <c r="K132" s="10" t="inlineStr">
        <is>
          <t>да</t>
        </is>
      </c>
      <c r="L132" s="10" t="inlineStr">
        <is>
          <t>Этап 6: подключён — Museum of Cambridge — REST The Events Calendar</t>
        </is>
      </c>
      <c r="O132" s="10" t="inlineStr">
        <is>
          <t>2026-09-28</t>
        </is>
      </c>
      <c r="P132" s="10" t="inlineStr"/>
    </row>
    <row r="133">
      <c r="A133" s="33" t="inlineStr">
        <is>
          <t>S134</t>
        </is>
      </c>
      <c r="B133" s="10" t="inlineStr">
        <is>
          <t>Семейные источники</t>
        </is>
      </c>
      <c r="C133" s="10" t="inlineStr">
        <is>
          <t>Centre for Computing History</t>
        </is>
      </c>
      <c r="D133" s="10" t="inlineStr">
        <is>
          <t>Музей</t>
        </is>
      </c>
      <c r="E133" s="10" t="inlineStr">
        <is>
          <t>https://www.computinghistory.org.uk/pages/30677/What-s-On/</t>
        </is>
      </c>
      <c r="F133" s="10" t="inlineStr"/>
      <c r="G133" s="10" t="inlineStr">
        <is>
          <t>Центр</t>
        </is>
      </c>
      <c r="H133" s="10" t="inlineStr"/>
      <c r="I133" s="10" t="inlineStr">
        <is>
          <t>Ежедневно</t>
        </is>
      </c>
      <c r="J133" s="10" t="n">
        <v>2</v>
      </c>
      <c r="K133" s="10" t="inlineStr">
        <is>
          <t>да</t>
        </is>
      </c>
      <c r="L133" s="10" t="inlineStr">
        <is>
          <t>Этап 6: подключён — Centre for Computing History — страница What's On, дата и название в ссылке</t>
        </is>
      </c>
      <c r="O133" s="10" t="inlineStr">
        <is>
          <t>2026-09-28</t>
        </is>
      </c>
      <c r="P133" s="10" t="inlineStr"/>
    </row>
    <row r="134">
      <c r="A134" s="33" t="inlineStr">
        <is>
          <t>S132</t>
        </is>
      </c>
      <c r="B134" s="10" t="inlineStr">
        <is>
          <t>Семейные места и аттракционы</t>
        </is>
      </c>
      <c r="C134" s="10" t="inlineStr">
        <is>
          <t>Milton Country Park</t>
        </is>
      </c>
      <c r="D134" s="10" t="inlineStr">
        <is>
          <t>Место</t>
        </is>
      </c>
      <c r="E134" s="10" t="inlineStr">
        <is>
          <t>https://www.miltoncountrypark.org/events</t>
        </is>
      </c>
      <c r="F134" s="10" t="inlineStr"/>
      <c r="G134" s="10" t="inlineStr">
        <is>
          <t>До 30 мин</t>
        </is>
      </c>
      <c r="H134" s="10" t="inlineStr"/>
      <c r="I134" s="10" t="inlineStr">
        <is>
          <t>Ежедневно</t>
        </is>
      </c>
      <c r="J134" s="10" t="n">
        <v>2</v>
      </c>
      <c r="K134" s="10" t="inlineStr">
        <is>
          <t>да</t>
        </is>
      </c>
      <c r="L134" s="10" t="inlineStr">
        <is>
          <t>Этап 6: подключён — Milton Country Park (Wix): список /events — название, день, место</t>
        </is>
      </c>
      <c r="O134" s="10" t="inlineStr">
        <is>
          <t>2026-09-28</t>
        </is>
      </c>
      <c r="P134" s="10" t="inlineStr"/>
    </row>
    <row r="135">
      <c r="A135" s="32" t="inlineStr">
        <is>
          <t>S133</t>
        </is>
      </c>
      <c r="B135" s="10" t="inlineStr">
        <is>
          <t>Семейные места и аттракционы</t>
        </is>
      </c>
      <c r="C135" s="10" t="inlineStr">
        <is>
          <t>Nene Park / Ferry Meadows</t>
        </is>
      </c>
      <c r="D135" s="10" t="inlineStr">
        <is>
          <t>Место</t>
        </is>
      </c>
      <c r="E135" s="10" t="inlineStr">
        <is>
          <t>https://www.nenepark.org.uk/events/</t>
        </is>
      </c>
      <c r="F135" s="10" t="inlineStr"/>
      <c r="G135" s="10" t="inlineStr">
        <is>
          <t>Кембриджшир</t>
        </is>
      </c>
      <c r="H135" s="10" t="inlineStr"/>
      <c r="I135" s="10" t="inlineStr">
        <is>
          <t>Ежедневно</t>
        </is>
      </c>
      <c r="J135" s="10" t="n">
        <v>2</v>
      </c>
      <c r="K135" s="10" t="inlineStr">
        <is>
          <t>нет</t>
        </is>
      </c>
      <c r="L135" s="10" t="inlineStr">
        <is>
          <t>Этап 6: отложен — Nene Park / Ferry Meadows: при проверке JSON-LD Event на /events/ (24 события), но при сборе сайт начал обрывать соединение и отвечать 403 — защита от ботов, не обходим; коллектор написан (family_misc.NenePark), из прогона убран — повторить позже / этап 6b</t>
        </is>
      </c>
      <c r="O135" s="10" t="inlineStr">
        <is>
          <t>2026-09-28</t>
        </is>
      </c>
      <c r="P135" s="10" t="inlineStr"/>
    </row>
    <row r="136">
      <c r="A136" s="19" t="inlineStr">
        <is>
          <t>S135</t>
        </is>
      </c>
      <c r="B136" s="10" t="inlineStr">
        <is>
          <t>Семейные места и аттракционы</t>
        </is>
      </c>
      <c r="C136" s="10" t="inlineStr">
        <is>
          <t>Shepreth Wildlife Park</t>
        </is>
      </c>
      <c r="D136" s="10" t="inlineStr">
        <is>
          <t>Место</t>
        </is>
      </c>
      <c r="E136" s="10" t="inlineStr">
        <is>
          <t>https://www.sheprethwildlifepark.co.uk</t>
        </is>
      </c>
      <c r="F136" s="10" t="inlineStr"/>
      <c r="G136" s="10" t="inlineStr">
        <is>
          <t>До 30 мин</t>
        </is>
      </c>
      <c r="H136" s="10" t="inlineStr"/>
      <c r="I136" s="10" t="inlineStr">
        <is>
          <t>Ежедневно</t>
        </is>
      </c>
      <c r="J136" s="10" t="n">
        <v>2</v>
      </c>
      <c r="K136" s="10" t="inlineStr">
        <is>
          <t>нет</t>
        </is>
      </c>
      <c r="L136" s="10" t="inlineStr">
        <is>
          <t>Этап 6: закрыт — Shepreth Wildlife Park: сайт отвечает 403 / обрывает соединение — не обходим; этап 6b</t>
        </is>
      </c>
      <c r="O136" s="10" t="inlineStr">
        <is>
          <t>2026-09-28</t>
        </is>
      </c>
      <c r="P136" s="10" t="inlineStr"/>
    </row>
    <row r="137">
      <c r="A137" s="10" t="inlineStr">
        <is>
          <t>S136</t>
        </is>
      </c>
      <c r="B137" s="10" t="inlineStr">
        <is>
          <t>Семейные места и аттракционы</t>
        </is>
      </c>
      <c r="C137" s="10" t="inlineStr">
        <is>
          <t>Linton Zoo</t>
        </is>
      </c>
      <c r="D137" s="10" t="inlineStr">
        <is>
          <t>Место</t>
        </is>
      </c>
      <c r="E137" s="10" t="inlineStr">
        <is>
          <t>https://lintonzoo.com</t>
        </is>
      </c>
      <c r="F137" s="10" t="inlineStr"/>
      <c r="G137" s="10" t="inlineStr">
        <is>
          <t>До 30 мин</t>
        </is>
      </c>
      <c r="H137" s="10" t="inlineStr"/>
      <c r="I137" s="10" t="inlineStr">
        <is>
          <t>Ежедневно</t>
        </is>
      </c>
      <c r="J137" s="10" t="n">
        <v>2</v>
      </c>
      <c r="K137" s="10" t="inlineStr">
        <is>
          <t>да</t>
        </is>
      </c>
      <c r="L137" s="10" t="inlineStr">
        <is>
          <t>Этап 6: не нужен — Linton Zoo: на сайте и в DigiTickets — только входные билеты, событий нет; сезонные события — через статьи</t>
        </is>
      </c>
      <c r="O137" s="10" t="inlineStr">
        <is>
          <t>2026-09-28</t>
        </is>
      </c>
      <c r="P137" s="10" t="inlineStr"/>
    </row>
    <row r="138">
      <c r="A138" s="19" t="inlineStr">
        <is>
          <t>S137</t>
        </is>
      </c>
      <c r="B138" s="10" t="inlineStr">
        <is>
          <t>Семейные места и аттракционы</t>
        </is>
      </c>
      <c r="C138" s="10" t="inlineStr">
        <is>
          <t>Hamerton Zoo Park</t>
        </is>
      </c>
      <c r="D138" s="10" t="inlineStr">
        <is>
          <t>Место</t>
        </is>
      </c>
      <c r="E138" s="10" t="inlineStr">
        <is>
          <t>https://www.hamertonzoopark.com</t>
        </is>
      </c>
      <c r="F138" s="10" t="inlineStr"/>
      <c r="G138" s="10" t="inlineStr">
        <is>
          <t>До часа</t>
        </is>
      </c>
      <c r="H138" s="10" t="inlineStr"/>
      <c r="I138" s="10" t="inlineStr">
        <is>
          <t>Ежедневно</t>
        </is>
      </c>
      <c r="J138" s="10" t="n">
        <v>2</v>
      </c>
      <c r="K138" s="10" t="inlineStr">
        <is>
          <t>нет</t>
        </is>
      </c>
      <c r="L138" s="10" t="inlineStr">
        <is>
          <t>Этап 6: закрыт — Hamerton Zoo Park: 429 на robots.txt и главную — считаем запретом, повторить на этапе 6b</t>
        </is>
      </c>
      <c r="O138" s="10" t="inlineStr">
        <is>
          <t>2026-09-28</t>
        </is>
      </c>
      <c r="P138" s="10" t="inlineStr"/>
    </row>
    <row r="139">
      <c r="A139" s="32" t="inlineStr">
        <is>
          <t>S138</t>
        </is>
      </c>
      <c r="B139" s="10" t="inlineStr">
        <is>
          <t>Семейные места и аттракционы</t>
        </is>
      </c>
      <c r="C139" s="10" t="inlineStr">
        <is>
          <t>Wimpole Home Farm (National Trust)</t>
        </is>
      </c>
      <c r="D139" s="10" t="inlineStr">
        <is>
          <t>Место</t>
        </is>
      </c>
      <c r="E139" s="10" t="inlineStr">
        <is>
          <t>https://www.nationaltrust.org.uk/visit/cambridgeshire/wimpole</t>
        </is>
      </c>
      <c r="F139" s="10" t="inlineStr"/>
      <c r="G139" s="10" t="inlineStr">
        <is>
          <t>До 30 мин</t>
        </is>
      </c>
      <c r="H139" s="10" t="inlineStr"/>
      <c r="I139" s="10" t="inlineStr">
        <is>
          <t>Ежедневно</t>
        </is>
      </c>
      <c r="J139" s="10" t="n">
        <v>2</v>
      </c>
      <c r="K139" s="10" t="inlineStr">
        <is>
          <t>нет</t>
        </is>
      </c>
      <c r="L139" s="10" t="inlineStr">
        <is>
          <t>Этап 6: вручную — Wimpole Home Farm — National Trust (S070): защита Radware, ручной сезонный календарь</t>
        </is>
      </c>
      <c r="O139" s="10" t="inlineStr">
        <is>
          <t>2026-09-28</t>
        </is>
      </c>
      <c r="P139" s="10" t="inlineStr">
        <is>
          <t>National Trust: есть — но на членство, магазин и отдых (Awin: Memberships 3795, Shop 3974, Holidays 12045); билеты на события — не указаны (Awin)</t>
        </is>
      </c>
    </row>
    <row r="140">
      <c r="A140" s="32" t="inlineStr">
        <is>
          <t>S139</t>
        </is>
      </c>
      <c r="B140" s="10" t="inlineStr">
        <is>
          <t>Семейные места и аттракционы</t>
        </is>
      </c>
      <c r="C140" s="10" t="inlineStr">
        <is>
          <t>Audley End House (English Heritage)</t>
        </is>
      </c>
      <c r="D140" s="10" t="inlineStr">
        <is>
          <t>Место</t>
        </is>
      </c>
      <c r="E140" s="10" t="inlineStr">
        <is>
          <t>https://www.english-heritage.org.uk/visit/places/audley-end-house-and-gardens/events/</t>
        </is>
      </c>
      <c r="F140" s="10" t="inlineStr"/>
      <c r="G140" s="10" t="inlineStr">
        <is>
          <t>До 30 мин</t>
        </is>
      </c>
      <c r="H140" s="10" t="inlineStr"/>
      <c r="I140" s="10" t="inlineStr">
        <is>
          <t>Ежедневно</t>
        </is>
      </c>
      <c r="J140" s="10" t="n">
        <v>2</v>
      </c>
      <c r="K140" s="10" t="inlineStr">
        <is>
          <t>да</t>
        </is>
      </c>
      <c r="L140" s="10" t="inlineStr">
        <is>
          <t>Этап 6: отложен — Audley End (English Heritage): события на странице загружаются скриптом, в HTML дат нет; JSON-LD нет — этап 6b (поиск) или ручной сезонный календарь</t>
        </is>
      </c>
      <c r="O140" s="10" t="inlineStr">
        <is>
          <t>2026-09-28</t>
        </is>
      </c>
      <c r="P140" s="10" t="inlineStr">
        <is>
          <t>English Heritage: есть — Membership (Awin 5928) и Shop (5926); билеты на события — не указаны (Awin)</t>
        </is>
      </c>
    </row>
    <row r="141">
      <c r="A141" s="32" t="inlineStr">
        <is>
          <t>S140</t>
        </is>
      </c>
      <c r="B141" s="10" t="inlineStr">
        <is>
          <t>Семейные места и аттракционы</t>
        </is>
      </c>
      <c r="C141" s="10" t="inlineStr">
        <is>
          <t>Woburn Safari Park</t>
        </is>
      </c>
      <c r="D141" s="10" t="inlineStr">
        <is>
          <t>Место</t>
        </is>
      </c>
      <c r="E141" s="10" t="inlineStr">
        <is>
          <t>https://www.woburnsafari.co.uk</t>
        </is>
      </c>
      <c r="F141" s="10" t="inlineStr"/>
      <c r="G141" s="10" t="inlineStr">
        <is>
          <t>40–60 км</t>
        </is>
      </c>
      <c r="H141" s="10" t="inlineStr"/>
      <c r="I141" s="10" t="inlineStr">
        <is>
          <t>Ежедневно</t>
        </is>
      </c>
      <c r="J141" s="10" t="n">
        <v>2</v>
      </c>
      <c r="K141" s="10" t="inlineStr">
        <is>
          <t>да</t>
        </is>
      </c>
      <c r="L141" s="10" t="inlineStr">
        <is>
          <t>Этап 6: отложен — Woburn Safari Park: страница событий отвечает 500; вне графства, ~55 км — только события ≥ 7 по правилу 40–60 км</t>
        </is>
      </c>
      <c r="O141" s="10" t="inlineStr">
        <is>
          <t>2026-09-28</t>
        </is>
      </c>
      <c r="P141" s="10" t="inlineStr"/>
    </row>
    <row r="142">
      <c r="A142" s="10" t="inlineStr">
        <is>
          <t>S141</t>
        </is>
      </c>
      <c r="B142" s="10" t="inlineStr">
        <is>
          <t>Церкви</t>
        </is>
      </c>
      <c r="C142" s="10" t="inlineStr">
        <is>
          <t>A Church Near You (Church of England)</t>
        </is>
      </c>
      <c r="D142" s="10" t="inlineStr">
        <is>
          <t>Каталог</t>
        </is>
      </c>
      <c r="E142" s="10" t="inlineStr">
        <is>
          <t>https://www.achurchnearyou.com</t>
        </is>
      </c>
      <c r="F142" s="10" t="inlineStr"/>
      <c r="G142" s="10" t="inlineStr">
        <is>
          <t>Графство</t>
        </is>
      </c>
      <c r="H142" s="10" t="inlineStr"/>
      <c r="I142" s="10" t="inlineStr">
        <is>
          <t>Ежедневно</t>
        </is>
      </c>
      <c r="J142" s="10" t="n">
        <v>2</v>
      </c>
      <c r="K142" s="10" t="inlineStr">
        <is>
          <t>да</t>
        </is>
      </c>
      <c r="L142" s="10" t="inlineStr">
        <is>
          <t>Этап 6: не нужен — A Church Near You: robots.txt разрешает (кроме /christmas/events/), но события — по страницам каждого прихода (сотни в епархии Ely) и в основном регулярные службы; единого источника на графство нет. Концерты крупных церквей уже приходят через Ents24 (King's Chapel, Great St Mary's), University What's On (обеденные концерты GSM) и Visit Cambridge; пропуски — проверить на этапе 6b</t>
        </is>
      </c>
      <c r="O142" s="10" t="inlineStr">
        <is>
          <t>2026-09-28</t>
        </is>
      </c>
      <c r="P142" s="10" t="inlineStr"/>
    </row>
    <row r="143">
      <c r="A143" s="19" t="inlineStr">
        <is>
          <t>S142</t>
        </is>
      </c>
      <c r="B143" s="10" t="inlineStr">
        <is>
          <t>Церкви</t>
        </is>
      </c>
      <c r="C143" s="10" t="inlineStr">
        <is>
          <t>ChurchSuite</t>
        </is>
      </c>
      <c r="D143" s="10" t="inlineStr">
        <is>
          <t>Каталог</t>
        </is>
      </c>
      <c r="E143" s="10" t="inlineStr">
        <is>
          <t>https://churchsuite.com</t>
        </is>
      </c>
      <c r="F143" s="10" t="inlineStr"/>
      <c r="G143" s="10" t="inlineStr">
        <is>
          <t>Графство</t>
        </is>
      </c>
      <c r="H143" s="10" t="inlineStr"/>
      <c r="I143" s="10" t="inlineStr">
        <is>
          <t>Ежедневно</t>
        </is>
      </c>
      <c r="J143" s="10" t="n">
        <v>2</v>
      </c>
      <c r="K143" s="10" t="inlineStr">
        <is>
          <t>нет</t>
        </is>
      </c>
      <c r="L143" s="10" t="inlineStr">
        <is>
          <t>Этап 6: закрыт — ChurchSuite: churchsuite.com за Cloudflare (403) — не обходим; календари отдельных приходов (&lt;приход&gt;.churchsuite.com) — если найдутся на этапе 6b</t>
        </is>
      </c>
      <c r="O143" s="10" t="inlineStr">
        <is>
          <t>2026-09-28</t>
        </is>
      </c>
      <c r="P143" s="10" t="inlineStr"/>
    </row>
    <row r="144">
      <c r="A144" s="10" t="inlineStr">
        <is>
          <t>S143</t>
        </is>
      </c>
      <c r="B144" s="10" t="inlineStr">
        <is>
          <t>Церкви</t>
        </is>
      </c>
      <c r="C144" s="10" t="inlineStr">
        <is>
          <t>King's College Chapel</t>
        </is>
      </c>
      <c r="D144" s="10" t="inlineStr">
        <is>
          <t>Площадка</t>
        </is>
      </c>
      <c r="E144" s="10" t="inlineStr">
        <is>
          <t>https://www.kings.cam.ac.uk/chapel/music-chapel/concerts-kings</t>
        </is>
      </c>
      <c r="F144" s="10" t="inlineStr"/>
      <c r="G144" s="10" t="inlineStr">
        <is>
          <t>Центр</t>
        </is>
      </c>
      <c r="H144" s="10" t="inlineStr"/>
      <c r="I144" s="10" t="inlineStr">
        <is>
          <t>Ежедневно</t>
        </is>
      </c>
      <c r="J144" s="10" t="n">
        <v>2</v>
      </c>
      <c r="K144" s="10" t="inlineStr">
        <is>
          <t>да</t>
        </is>
      </c>
      <c r="L144" s="10" t="inlineStr">
        <is>
          <t>Этап 6: покрыт — King's College Chapel: страница концертов без дат в HTML; концерты есть в Ents24 (S006) и Visit Cambridge</t>
        </is>
      </c>
      <c r="O144" s="10" t="inlineStr">
        <is>
          <t>2026-09-28</t>
        </is>
      </c>
      <c r="P144" s="10" t="inlineStr"/>
    </row>
    <row r="145">
      <c r="A145" s="34" t="inlineStr">
        <is>
          <t>S144</t>
        </is>
      </c>
      <c r="B145" s="10" t="inlineStr">
        <is>
          <t>Церкви</t>
        </is>
      </c>
      <c r="C145" s="10" t="inlineStr">
        <is>
          <t>St John's College Chapel</t>
        </is>
      </c>
      <c r="D145" s="10" t="inlineStr">
        <is>
          <t>Площадка</t>
        </is>
      </c>
      <c r="E145" s="10" t="inlineStr">
        <is>
          <t>https://www.joh.cam.ac.uk/chapel-and-choir/chapel-services-and-events</t>
        </is>
      </c>
      <c r="F145" s="10" t="inlineStr"/>
      <c r="G145" s="10" t="inlineStr">
        <is>
          <t>Центр</t>
        </is>
      </c>
      <c r="H145" s="10" t="inlineStr"/>
      <c r="I145" s="10" t="inlineStr">
        <is>
          <t>Ежедневно</t>
        </is>
      </c>
      <c r="J145" s="10" t="n">
        <v>2</v>
      </c>
      <c r="K145" s="10" t="inlineStr">
        <is>
          <t>да</t>
        </is>
      </c>
      <c r="L145" s="10" t="inlineStr">
        <is>
          <t>Этап 6: покрыт — St John's College Chapel: события — отдельными страницами без списка с датами; крупные концерты — в Visit Cambridge Этап 6c: подключён — St John's College: joh.cam.ac.uk/festival (лекции, концерты, выставки) + sjcchoir.co.uk/events Ошибочное прежнее решение: S144 (этап 6: «покрыт») — ошибочно: лекционные серии и концерты колледжа не приходят из других источников. Этап 7c: ссылка — на страницу события (не на общий список); цена «Free», если страница события или её «Book now» говорит «free and open to all» (лекция Josephine Crawley Quinn).</t>
        </is>
      </c>
      <c r="O145" s="10" t="inlineStr">
        <is>
          <t>2026-09-30</t>
        </is>
      </c>
      <c r="P145" s="10" t="inlineStr">
        <is>
          <t>события ведут к: продавец не определён — 1 соб.</t>
        </is>
      </c>
    </row>
    <row r="146">
      <c r="A146" s="19" t="inlineStr">
        <is>
          <t>S145</t>
        </is>
      </c>
      <c r="B146" s="10" t="inlineStr">
        <is>
          <t>Церкви</t>
        </is>
      </c>
      <c r="C146" s="10" t="inlineStr">
        <is>
          <t>Trinity College Chapel / Great St Mary's</t>
        </is>
      </c>
      <c r="D146" s="10" t="inlineStr">
        <is>
          <t>Площадка</t>
        </is>
      </c>
      <c r="E146" s="10" t="inlineStr">
        <is>
          <t>https://www.greatstmarys.org/whats-on</t>
        </is>
      </c>
      <c r="F146" s="10" t="inlineStr"/>
      <c r="G146" s="10" t="inlineStr">
        <is>
          <t>Центр</t>
        </is>
      </c>
      <c r="H146" s="10" t="inlineStr"/>
      <c r="I146" s="10" t="inlineStr">
        <is>
          <t>Ежедневно</t>
        </is>
      </c>
      <c r="J146" s="10" t="n">
        <v>2</v>
      </c>
      <c r="K146" s="10" t="inlineStr">
        <is>
          <t>нет</t>
        </is>
      </c>
      <c r="L146" s="10" t="inlineStr">
        <is>
          <t>Этап 6: закрыт — Trinity College Chapel: ошибка сертификата TLS; Great St Mary's (gsm.cam.ac.uk — 502, greatstmarys.org — страница на скриптах): обеденные концерты — через University What's On (S048)</t>
        </is>
      </c>
      <c r="O146" s="10" t="inlineStr">
        <is>
          <t>2026-09-28</t>
        </is>
      </c>
      <c r="P146" s="10" t="inlineStr"/>
    </row>
    <row r="147">
      <c r="A147" s="10" t="inlineStr">
        <is>
          <t>S146</t>
        </is>
      </c>
      <c r="B147" s="10" t="inlineStr">
        <is>
          <t>Церкви</t>
        </is>
      </c>
      <c r="C147" s="10" t="inlineStr">
        <is>
          <t>Round Church / St Botolph's</t>
        </is>
      </c>
      <c r="D147" s="10" t="inlineStr">
        <is>
          <t>Площадка</t>
        </is>
      </c>
      <c r="E147" s="10" t="inlineStr">
        <is>
          <t>https://roundchurchcambridge.org</t>
        </is>
      </c>
      <c r="F147" s="10" t="inlineStr"/>
      <c r="G147" s="10" t="inlineStr">
        <is>
          <t>Центр</t>
        </is>
      </c>
      <c r="H147" s="10" t="inlineStr"/>
      <c r="I147" s="10" t="inlineStr">
        <is>
          <t>Ежедневно</t>
        </is>
      </c>
      <c r="J147" s="10" t="n">
        <v>2</v>
      </c>
      <c r="K147" s="10" t="inlineStr">
        <is>
          <t>да</t>
        </is>
      </c>
      <c r="L147" s="10" t="inlineStr">
        <is>
          <t>Этап 6: не нужен — Round Church: сайт визит-центра, событий в афише нет; St Botolph's — домен отвечает 502</t>
        </is>
      </c>
      <c r="O147" s="10" t="inlineStr">
        <is>
          <t>2026-09-28</t>
        </is>
      </c>
      <c r="P147" s="10" t="inlineStr"/>
    </row>
    <row r="148">
      <c r="A148" s="10" t="inlineStr">
        <is>
          <t>S147</t>
        </is>
      </c>
      <c r="B148" s="10" t="inlineStr">
        <is>
          <t>Ярмарки</t>
        </is>
      </c>
      <c r="C148" s="10" t="inlineStr">
        <is>
          <t>Stourbridge Fair, Big Weekend, включение огней</t>
        </is>
      </c>
      <c r="D148" s="10" t="inlineStr">
        <is>
          <t>Ежегодное</t>
        </is>
      </c>
      <c r="E148" s="10" t="inlineStr">
        <is>
          <t>https://cambridgeppf.org/leper-chapel/</t>
        </is>
      </c>
      <c r="F148" s="10" t="inlineStr"/>
      <c r="G148" s="10" t="inlineStr">
        <is>
          <t>Центр</t>
        </is>
      </c>
      <c r="H148" s="10" t="inlineStr"/>
      <c r="I148" s="10" t="inlineStr">
        <is>
          <t>Ежедневно</t>
        </is>
      </c>
      <c r="J148" s="10" t="n">
        <v>2</v>
      </c>
      <c r="K148" s="10" t="inlineStr">
        <is>
          <t>—</t>
        </is>
      </c>
      <c r="L148" s="10" t="inlineStr">
        <is>
          <t>Этап 6: ежегодное — Stourbridge Fair (Leper Chapel, CPPF) — recurring R22; Big Weekend — R23; включение рождественских огней — R24</t>
        </is>
      </c>
      <c r="O148" s="10" t="inlineStr">
        <is>
          <t>2026-09-28</t>
        </is>
      </c>
      <c r="P148" s="10" t="inlineStr"/>
    </row>
    <row r="149">
      <c r="A149" s="33" t="inlineStr">
        <is>
          <t>S149</t>
        </is>
      </c>
      <c r="B149" s="10" t="inlineStr">
        <is>
          <t>Концерты</t>
        </is>
      </c>
      <c r="C149" s="10" t="inlineStr">
        <is>
          <t>King's College Choir — concerts</t>
        </is>
      </c>
      <c r="D149" s="10" t="inlineStr">
        <is>
          <t>Площадка</t>
        </is>
      </c>
      <c r="E149" s="10" t="inlineStr">
        <is>
          <t>https://kingscollegechoir.com/concert/</t>
        </is>
      </c>
      <c r="F149" s="10" t="inlineStr"/>
      <c r="G149" s="10" t="inlineStr">
        <is>
          <t>Центр</t>
        </is>
      </c>
      <c r="H149" s="10" t="inlineStr"/>
      <c r="I149" s="10" t="inlineStr">
        <is>
          <t>Ежедневно</t>
        </is>
      </c>
      <c r="J149" s="10" t="n">
        <v>2</v>
      </c>
      <c r="L149" s="10" t="inlineStr">
        <is>
          <t>Этап 6c: подключён — King's College Choir: блок «Upcoming Performances» + страницы концертов (время, программа, «free of charge») Ошибочное прежнее решение: S143 King's College Chapel (этап 6: «покрыт через Ents24/Visit Cambridge») — ошибочно: воскресной органной серии и части концертов там нет; нужен сайт хора.</t>
        </is>
      </c>
      <c r="O149" s="10" t="inlineStr">
        <is>
          <t>2026-09-29</t>
        </is>
      </c>
      <c r="P149" s="10" t="inlineStr">
        <is>
          <t>события ведут к: продавец не определён — 1 соб.</t>
        </is>
      </c>
    </row>
    <row r="150">
      <c r="A150" s="33" t="inlineStr">
        <is>
          <t>S150</t>
        </is>
      </c>
      <c r="B150" s="10" t="inlineStr">
        <is>
          <t>Концерты</t>
        </is>
      </c>
      <c r="C150" s="10" t="inlineStr">
        <is>
          <t>Cambridge Music (cmp.cam.ac.uk) — West Road, CUMS, колледжи</t>
        </is>
      </c>
      <c r="D150" s="10" t="inlineStr">
        <is>
          <t>Агрегатор</t>
        </is>
      </c>
      <c r="E150" s="10" t="inlineStr">
        <is>
          <t>https://www.cmp.cam.ac.uk/events/</t>
        </is>
      </c>
      <c r="F150" s="10" t="inlineStr"/>
      <c r="G150" s="10" t="inlineStr">
        <is>
          <t>Центр</t>
        </is>
      </c>
      <c r="H150" s="10" t="inlineStr"/>
      <c r="I150" s="10" t="inlineStr">
        <is>
          <t>Ежедневно</t>
        </is>
      </c>
      <c r="J150" s="10" t="n">
        <v>2</v>
      </c>
      <c r="L150" s="10" t="inlineStr">
        <is>
          <t>Этап 6c: подключён — cmp.cam.ac.uk: WordPress REST + страницы событий («When / Where»); наборы в студенческие коллективы отсекаются Ошибочное прежнее решение: S015 West Road (этап 5: «не нужен, концерты приходят из S091/S005/S007/S008») — ошибочно: концерты CUMS, факультета и колледжей туда не приходят.</t>
        </is>
      </c>
      <c r="O150" s="10" t="inlineStr">
        <is>
          <t>2026-09-29</t>
        </is>
      </c>
      <c r="P150" s="10" t="inlineStr">
        <is>
          <t>события ведут к: Ticket Tailor — 1 соб.: программы нет; DigiTickets — 1 соб.: программа есть; WeGotTickets — 1 соб.: программа есть</t>
        </is>
      </c>
    </row>
    <row r="151">
      <c r="A151" s="33" t="inlineStr">
        <is>
          <t>S151</t>
        </is>
      </c>
      <c r="B151" s="10" t="inlineStr">
        <is>
          <t>Концерты</t>
        </is>
      </c>
      <c r="C151" s="10" t="inlineStr">
        <is>
          <t>Music Live Cambridge</t>
        </is>
      </c>
      <c r="D151" s="10" t="inlineStr">
        <is>
          <t>Агрегатор</t>
        </is>
      </c>
      <c r="E151" s="10" t="inlineStr">
        <is>
          <t>https://musiclivecambridge.com/</t>
        </is>
      </c>
      <c r="F151" s="10" t="inlineStr"/>
      <c r="G151" s="10" t="inlineStr">
        <is>
          <t>Центр</t>
        </is>
      </c>
      <c r="H151" s="10" t="inlineStr"/>
      <c r="I151" s="10" t="inlineStr">
        <is>
          <t>Ежедневно</t>
        </is>
      </c>
      <c r="J151" s="10" t="n">
        <v>3</v>
      </c>
      <c r="L151" s="10" t="inlineStr">
        <is>
          <t>Этап 6c: подключён — Music Live Cambridge: список концертов + iCal каждого (robots.txt разрешает, листинг стабильный)</t>
        </is>
      </c>
      <c r="O151" s="10" t="inlineStr">
        <is>
          <t>2026-09-29</t>
        </is>
      </c>
      <c r="P151" s="10" t="inlineStr">
        <is>
          <t>события ведут к: продавец не определён — 15 соб.; Spektrix (касса площадки) — 10 соб.: программы нет; Cambridge Live (касса Corn Exchange и Guildhall) — 6 соб.: программы нет</t>
        </is>
      </c>
    </row>
    <row r="152">
      <c r="A152" s="33" t="inlineStr">
        <is>
          <t>S152</t>
        </is>
      </c>
      <c r="B152" s="10" t="inlineStr">
        <is>
          <t>Спорт — участвовать</t>
        </is>
      </c>
      <c r="C152" s="10" t="inlineStr">
        <is>
          <t>Find a Race — забеги в 40 км</t>
        </is>
      </c>
      <c r="D152" s="10" t="inlineStr">
        <is>
          <t>Агрегатор / регистрация</t>
        </is>
      </c>
      <c r="E152" s="10" t="inlineStr">
        <is>
          <t>https://findarace.com/events</t>
        </is>
      </c>
      <c r="F152" s="10" t="inlineStr"/>
      <c r="G152" s="10" t="inlineStr">
        <is>
          <t>Час</t>
        </is>
      </c>
      <c r="H152" s="10" t="inlineStr"/>
      <c r="I152" s="10" t="inlineStr">
        <is>
          <t>Ежедневно</t>
        </is>
      </c>
      <c r="J152" s="10" t="n">
        <v>3</v>
      </c>
      <c r="L152" s="10" t="inlineStr">
        <is>
          <t>Этап 6c: подключён — Find a Race: JSON-LD ItemList SportsEvent в радиусе 40 км; виртуальные забеги и «в любой день» не берутся; в выпуске — «Спорт → Поучаствовать» Ошибочное прежнее решение: runabc.co.uk: обрыв соединения на robots.txt — выбран findarace; timeoutdoors.com — 403 (бот-защита).</t>
        </is>
      </c>
      <c r="O152" s="10" t="inlineStr">
        <is>
          <t>2026-09-29</t>
        </is>
      </c>
      <c r="P152" s="10" t="inlineStr">
        <is>
          <t>Find a Race: есть — Findarace Partner Program (портал партнёров) (своя)</t>
        </is>
      </c>
    </row>
    <row r="153">
      <c r="A153" s="33" t="inlineStr">
        <is>
          <t>S153</t>
        </is>
      </c>
      <c r="B153" s="10" t="inlineStr">
        <is>
          <t>Выставки и музеи</t>
        </is>
      </c>
      <c r="C153" s="10" t="inlineStr">
        <is>
          <t>Royston Museum</t>
        </is>
      </c>
      <c r="D153" s="10" t="inlineStr">
        <is>
          <t>Музей</t>
        </is>
      </c>
      <c r="E153" s="10" t="inlineStr">
        <is>
          <t>https://www.roystonmuseum.org.uk/what-s-on</t>
        </is>
      </c>
      <c r="F153" s="10" t="inlineStr"/>
      <c r="G153" s="10" t="inlineStr">
        <is>
          <t>До 30 мин</t>
        </is>
      </c>
      <c r="H153" s="10" t="inlineStr"/>
      <c r="I153" s="10" t="inlineStr">
        <is>
          <t>Ежедневно</t>
        </is>
      </c>
      <c r="J153" s="10" t="n">
        <v>3</v>
      </c>
      <c r="L153" s="10" t="inlineStr">
        <is>
          <t>Этап 6c: подключён — Royston Museum: страница what-s-on (Wix) — название | дата | цена; TicketTailor закрыт бот-защитой Ошибочное прежнее решение: S124 Royston (этап 5: «через Ents24/Skiddle») — музейные события туда не попадают.</t>
        </is>
      </c>
      <c r="O153" s="10" t="inlineStr">
        <is>
          <t>2026-09-29</t>
        </is>
      </c>
      <c r="P153" s="10" t="inlineStr">
        <is>
          <t>события ведут к: Ticket Tailor — 6 соб.: программы нет</t>
        </is>
      </c>
    </row>
    <row r="154">
      <c r="A154" s="33" t="inlineStr">
        <is>
          <t>S154</t>
        </is>
      </c>
      <c r="B154" s="10" t="inlineStr">
        <is>
          <t>Спорт — смотреть</t>
        </is>
      </c>
      <c r="C154" s="10" t="inlineStr">
        <is>
          <t>Cambridge United Women</t>
        </is>
      </c>
      <c r="D154" s="10" t="inlineStr">
        <is>
          <t>Клуб</t>
        </is>
      </c>
      <c r="E154" s="10" t="inlineStr">
        <is>
          <t>https://www.cambridgeunited.com/fixture/list/844</t>
        </is>
      </c>
      <c r="F154" s="10" t="inlineStr"/>
      <c r="G154" s="10" t="inlineStr">
        <is>
          <t>Центр</t>
        </is>
      </c>
      <c r="H154" s="10" t="inlineStr"/>
      <c r="I154" s="10" t="inlineStr">
        <is>
          <t>Ежедневно</t>
        </is>
      </c>
      <c r="J154" s="10" t="n">
        <v>2</v>
      </c>
      <c r="L154" s="10" t="inlineStr">
        <is>
          <t>Этап 6c: подключён — Cambridge United Women: страница фикстур клуба (FAWNL South East D1, Grange Road)</t>
        </is>
      </c>
      <c r="O154" s="10" t="inlineStr">
        <is>
          <t>2026-09-29</t>
        </is>
      </c>
      <c r="P154" s="10" t="inlineStr"/>
    </row>
    <row r="155">
      <c r="A155" s="33" t="inlineStr">
        <is>
          <t>S155</t>
        </is>
      </c>
      <c r="B155" s="10" t="inlineStr">
        <is>
          <t>Спорт — смотреть</t>
        </is>
      </c>
      <c r="C155" s="10" t="inlineStr">
        <is>
          <t>Peterborough Phantoms (хоккей, NIHL)</t>
        </is>
      </c>
      <c r="D155" s="10" t="inlineStr">
        <is>
          <t>Клуб</t>
        </is>
      </c>
      <c r="E155" s="10" t="inlineStr">
        <is>
          <t>https://www.gophantoms.co.uk/gameday/2026-27-fixtures</t>
        </is>
      </c>
      <c r="F155" s="10" t="inlineStr"/>
      <c r="G155" s="10" t="inlineStr">
        <is>
          <t>Кембриджшир</t>
        </is>
      </c>
      <c r="H155" s="10" t="inlineStr"/>
      <c r="I155" s="10" t="inlineStr">
        <is>
          <t>Ежедневно</t>
        </is>
      </c>
      <c r="J155" s="10" t="n">
        <v>2</v>
      </c>
      <c r="L155" s="10" t="inlineStr">
        <is>
          <t>Этап 6c: подключён — Peterborough Phantoms (NIHL): страница фикстур клуба gophantoms.co.uk</t>
        </is>
      </c>
      <c r="O155" s="10" t="inlineStr">
        <is>
          <t>2026-09-29</t>
        </is>
      </c>
      <c r="P155" s="10" t="inlineStr">
        <is>
          <t>Клубы (eTicketing / SECUTIX), Planet Ice, IWM, университетские музеи: не найдено</t>
        </is>
      </c>
    </row>
    <row r="156">
      <c r="A156" s="33" t="inlineStr">
        <is>
          <t>S163</t>
        </is>
      </c>
      <c r="B156" s="10" t="inlineStr">
        <is>
          <t>Выставки и музеи</t>
        </is>
      </c>
      <c r="C156" s="10" t="inlineStr">
        <is>
          <t>Heong Gallery (Downing College)</t>
        </is>
      </c>
      <c r="D156" s="10" t="inlineStr">
        <is>
          <t>Галерея</t>
        </is>
      </c>
      <c r="E156" s="10" t="inlineStr">
        <is>
          <t>https://www.dow.cam.ac.uk/creative-arts/heong-gallery</t>
        </is>
      </c>
      <c r="F156" s="10" t="inlineStr"/>
      <c r="G156" s="10" t="inlineStr">
        <is>
          <t>Центр</t>
        </is>
      </c>
      <c r="H156" s="10" t="inlineStr"/>
      <c r="I156" s="10" t="inlineStr">
        <is>
          <t>Ежедневно</t>
        </is>
      </c>
      <c r="J156" s="10" t="n">
        <v>2</v>
      </c>
      <c r="L156" s="10" t="inlineStr">
        <is>
          <t>Этап 6c: подключён — Heong Gallery (Downing College): текущая и будущие выставки</t>
        </is>
      </c>
      <c r="O156" s="10" t="inlineStr">
        <is>
          <t>2026-09-29</t>
        </is>
      </c>
      <c r="P156" s="10" t="inlineStr">
        <is>
          <t>события ведут к: продавец не определён — 1 соб.</t>
        </is>
      </c>
    </row>
    <row r="157">
      <c r="A157" s="33" t="inlineStr">
        <is>
          <t>S164</t>
        </is>
      </c>
      <c r="B157" s="10" t="inlineStr">
        <is>
          <t>Выставки и музеи</t>
        </is>
      </c>
      <c r="C157" s="10" t="inlineStr">
        <is>
          <t>The Women's Art Collection (Murray Edwards)</t>
        </is>
      </c>
      <c r="D157" s="10" t="inlineStr">
        <is>
          <t>Галерея</t>
        </is>
      </c>
      <c r="E157" s="10" t="inlineStr">
        <is>
          <t>https://www.murrayedwards.cam.ac.uk/womens-art-collection</t>
        </is>
      </c>
      <c r="F157" s="10" t="inlineStr"/>
      <c r="G157" s="10" t="inlineStr">
        <is>
          <t>Центр</t>
        </is>
      </c>
      <c r="H157" s="10" t="inlineStr"/>
      <c r="I157" s="10" t="inlineStr">
        <is>
          <t>Ежедневно</t>
        </is>
      </c>
      <c r="J157" s="10" t="n">
        <v>2</v>
      </c>
      <c r="L157" s="10" t="inlineStr">
        <is>
          <t>Этап 6c: подключён — The Women's Art Collection (Murray Edwards): выставки и кураторские лекции</t>
        </is>
      </c>
      <c r="O157" s="10" t="inlineStr">
        <is>
          <t>2026-09-29</t>
        </is>
      </c>
      <c r="P157" s="10" t="inlineStr">
        <is>
          <t>события ведут к: продавец не определён — 1 соб.</t>
        </is>
      </c>
    </row>
    <row r="158">
      <c r="A158" s="33" t="inlineStr">
        <is>
          <t>S165</t>
        </is>
      </c>
      <c r="B158" s="10" t="inlineStr">
        <is>
          <t>Сквозные агрегаторы</t>
        </is>
      </c>
      <c r="C158" s="10" t="inlineStr">
        <is>
          <t>Разбор подборок («Things to do…»)</t>
        </is>
      </c>
      <c r="D158" s="10" t="inlineStr">
        <is>
          <t>Производный</t>
        </is>
      </c>
      <c r="E158" s="10" t="inlineStr"/>
      <c r="F158" s="10" t="inlineStr"/>
      <c r="G158" s="10" t="inlineStr">
        <is>
          <t>Центр</t>
        </is>
      </c>
      <c r="H158" s="10" t="inlineStr"/>
      <c r="I158" s="10" t="inlineStr">
        <is>
          <t>Ежедневно</t>
        </is>
      </c>
      <c r="J158" s="10" t="n">
        <v>3</v>
      </c>
      <c r="L158" s="10" t="inlineStr">
        <is>
          <t>Этап 6c: подключён — Разбор подборок («Things to do…»): страница подборки → отдельные события → проверка на их страницах; подборка сама в выпуск не идёт</t>
        </is>
      </c>
      <c r="O158" s="10" t="inlineStr">
        <is>
          <t>2026-09-29</t>
        </is>
      </c>
      <c r="P158" s="10" t="inlineStr"/>
    </row>
    <row r="159">
      <c r="A159" s="19" t="inlineStr">
        <is>
          <t>S156</t>
        </is>
      </c>
      <c r="B159" s="10" t="inlineStr">
        <is>
          <t>Кино</t>
        </is>
      </c>
      <c r="C159" s="10" t="inlineStr">
        <is>
          <t>Vue Cambridge (The Grafton)</t>
        </is>
      </c>
      <c r="D159" s="10" t="inlineStr">
        <is>
          <t>Кино</t>
        </is>
      </c>
      <c r="E159" s="10" t="inlineStr">
        <is>
          <t>https://www.myvue.com/cinema/cambridge/whats-on</t>
        </is>
      </c>
      <c r="F159" s="10" t="inlineStr"/>
      <c r="G159" s="10" t="inlineStr">
        <is>
          <t>Центр</t>
        </is>
      </c>
      <c r="H159" s="10" t="inlineStr"/>
      <c r="I159" s="10" t="inlineStr">
        <is>
          <t>Ежедневно</t>
        </is>
      </c>
      <c r="J159" s="10" t="n">
        <v>2</v>
      </c>
      <c r="L159" s="10" t="inlineStr">
        <is>
          <t>Этап 6c: закрыт — Vue Cambridge: страница 403 (бот-защита)</t>
        </is>
      </c>
      <c r="O159" s="10" t="inlineStr">
        <is>
          <t>2026-09-29</t>
        </is>
      </c>
      <c r="P159" s="10" t="inlineStr"/>
    </row>
    <row r="160">
      <c r="A160" s="19" t="inlineStr">
        <is>
          <t>S157</t>
        </is>
      </c>
      <c r="B160" s="10" t="inlineStr">
        <is>
          <t>Кино</t>
        </is>
      </c>
      <c r="C160" s="10" t="inlineStr">
        <is>
          <t>Light Cinema Cambridge</t>
        </is>
      </c>
      <c r="D160" s="10" t="inlineStr">
        <is>
          <t>Кино</t>
        </is>
      </c>
      <c r="E160" s="10" t="inlineStr">
        <is>
          <t>https://cambridge.thelight.co.uk</t>
        </is>
      </c>
      <c r="F160" s="10" t="inlineStr"/>
      <c r="G160" s="10" t="inlineStr">
        <is>
          <t>Центр</t>
        </is>
      </c>
      <c r="H160" s="10" t="inlineStr">
        <is>
          <t>JSON (мини-гид)</t>
        </is>
      </c>
      <c r="I160" s="10" t="inlineStr">
        <is>
          <t>Ежедневно</t>
        </is>
      </c>
      <c r="J160" s="10" t="n">
        <v>2</v>
      </c>
      <c r="L160" s="10" t="inlineStr">
        <is>
          <t>Этап 6c: закрыт — Light Cinema Cambridge: афиша только скриптом Этап 7b: подключён — расписание на 2 недели открытым JSON без токена (robots.txt разрешает): event cinema и спецпоказы — события; фильмы — «где идёт» в рубрике «В кино».</t>
        </is>
      </c>
      <c r="M160" s="10" t="inlineStr">
        <is>
          <t>https://cambridge.thelight.co.uk/resource/services/miniguide/data.ashx</t>
        </is>
      </c>
      <c r="N160" s="10" t="inlineStr">
        <is>
          <t>разрешено</t>
        </is>
      </c>
      <c r="O160" s="10" t="inlineStr">
        <is>
          <t>2026-09-30</t>
        </is>
      </c>
      <c r="P160" s="10" t="inlineStr"/>
    </row>
    <row r="161">
      <c r="A161" s="19" t="inlineStr">
        <is>
          <t>S158</t>
        </is>
      </c>
      <c r="B161" s="10" t="inlineStr">
        <is>
          <t>Кино</t>
        </is>
      </c>
      <c r="C161" s="10" t="inlineStr">
        <is>
          <t>Saffron Screen</t>
        </is>
      </c>
      <c r="D161" s="10" t="inlineStr">
        <is>
          <t>Кино</t>
        </is>
      </c>
      <c r="E161" s="10" t="inlineStr">
        <is>
          <t>https://www.saffronscreen.com/</t>
        </is>
      </c>
      <c r="F161" s="10" t="inlineStr"/>
      <c r="G161" s="10" t="inlineStr">
        <is>
          <t>До 30 мин</t>
        </is>
      </c>
      <c r="H161" s="10" t="inlineStr"/>
      <c r="I161" s="10" t="inlineStr">
        <is>
          <t>Ежедневно</t>
        </is>
      </c>
      <c r="J161" s="10" t="n">
        <v>3</v>
      </c>
      <c r="L161" s="10" t="inlineStr">
        <is>
          <t>Этап 6c: закрыт — Saffron Screen: HTTP 202, заглушка бот-защиты</t>
        </is>
      </c>
      <c r="O161" s="10" t="inlineStr">
        <is>
          <t>2026-09-29</t>
        </is>
      </c>
      <c r="P161" s="10" t="inlineStr"/>
    </row>
    <row r="162">
      <c r="A162" s="19" t="inlineStr">
        <is>
          <t>S159</t>
        </is>
      </c>
      <c r="B162" s="10" t="inlineStr">
        <is>
          <t>Кино</t>
        </is>
      </c>
      <c r="C162" s="10" t="inlineStr">
        <is>
          <t>Babylon Cinema, Ely</t>
        </is>
      </c>
      <c r="D162" s="10" t="inlineStr">
        <is>
          <t>Кино</t>
        </is>
      </c>
      <c r="E162" s="10" t="inlineStr">
        <is>
          <t>https://www.babylonely.co.uk/</t>
        </is>
      </c>
      <c r="F162" s="10" t="inlineStr"/>
      <c r="G162" s="10" t="inlineStr">
        <is>
          <t>До 30 мин</t>
        </is>
      </c>
      <c r="H162" s="10" t="inlineStr"/>
      <c r="I162" s="10" t="inlineStr">
        <is>
          <t>Ежедневно</t>
        </is>
      </c>
      <c r="J162" s="10" t="n">
        <v>3</v>
      </c>
      <c r="L162" s="10" t="inlineStr">
        <is>
          <t>Этап 6c: закрыт — Babylon Cinema (Ely Maltings): обрыв соединения</t>
        </is>
      </c>
      <c r="O162" s="10" t="inlineStr">
        <is>
          <t>2026-09-29</t>
        </is>
      </c>
      <c r="P162" s="10" t="inlineStr"/>
    </row>
    <row r="163">
      <c r="A163" s="19" t="inlineStr">
        <is>
          <t>S160</t>
        </is>
      </c>
      <c r="B163" s="10" t="inlineStr">
        <is>
          <t>Спорт — смотреть</t>
        </is>
      </c>
      <c r="C163" s="10" t="inlineStr">
        <is>
          <t>CURUFC — университетское регби</t>
        </is>
      </c>
      <c r="D163" s="10" t="inlineStr">
        <is>
          <t>Клуб</t>
        </is>
      </c>
      <c r="E163" s="10" t="inlineStr">
        <is>
          <t>https://curufc.com/events-tickets/fixtures/</t>
        </is>
      </c>
      <c r="F163" s="10" t="inlineStr"/>
      <c r="G163" s="10" t="inlineStr">
        <is>
          <t>Центр</t>
        </is>
      </c>
      <c r="H163" s="10" t="inlineStr"/>
      <c r="I163" s="10" t="inlineStr">
        <is>
          <t>Ежедневно</t>
        </is>
      </c>
      <c r="J163" s="10" t="n">
        <v>3</v>
      </c>
      <c r="L163" s="10" t="inlineStr">
        <is>
          <t>Этап 6c: закрыт — CURUFC (университетское регби, Grange Road): HTTP 202, заглушка</t>
        </is>
      </c>
      <c r="O163" s="10" t="inlineStr">
        <is>
          <t>2026-09-29</t>
        </is>
      </c>
      <c r="P163" s="10" t="inlineStr"/>
    </row>
    <row r="164">
      <c r="A164" s="19" t="inlineStr">
        <is>
          <t>S161</t>
        </is>
      </c>
      <c r="B164" s="10" t="inlineStr">
        <is>
          <t>Спорт — смотреть</t>
        </is>
      </c>
      <c r="C164" s="10" t="inlineStr">
        <is>
          <t>FA Full-Time</t>
        </is>
      </c>
      <c r="D164" s="10" t="inlineStr">
        <is>
          <t>Лига</t>
        </is>
      </c>
      <c r="E164" s="10" t="inlineStr">
        <is>
          <t>https://fulltime.thefa.com/</t>
        </is>
      </c>
      <c r="F164" s="10" t="inlineStr"/>
      <c r="G164" s="10" t="inlineStr">
        <is>
          <t>Графство</t>
        </is>
      </c>
      <c r="H164" s="10" t="inlineStr"/>
      <c r="I164" s="10" t="inlineStr">
        <is>
          <t>Ежедневно</t>
        </is>
      </c>
      <c r="J164" s="10" t="n">
        <v>3</v>
      </c>
      <c r="L164" s="10" t="inlineStr">
        <is>
          <t>Этап 6c: закрыт — FA Full-Time: robots.txt 403 (правил нет), страница 403 — бот-защита</t>
        </is>
      </c>
      <c r="O164" s="10" t="inlineStr">
        <is>
          <t>2026-09-29</t>
        </is>
      </c>
      <c r="P164" s="10" t="inlineStr"/>
    </row>
    <row r="165">
      <c r="A165" s="32" t="inlineStr">
        <is>
          <t>S166</t>
        </is>
      </c>
      <c r="B165" s="10" t="inlineStr">
        <is>
          <t>Лекции</t>
        </is>
      </c>
      <c r="C165" s="10" t="inlineStr">
        <is>
          <t>Trinity College events</t>
        </is>
      </c>
      <c r="D165" s="10" t="inlineStr">
        <is>
          <t>Колледж</t>
        </is>
      </c>
      <c r="E165" s="10" t="inlineStr">
        <is>
          <t>https://www.trin.cam.ac.uk/events/</t>
        </is>
      </c>
      <c r="F165" s="10" t="inlineStr"/>
      <c r="G165" s="10" t="inlineStr">
        <is>
          <t>Центр</t>
        </is>
      </c>
      <c r="H165" s="10" t="inlineStr">
        <is>
          <t>HTML + Haiku</t>
        </is>
      </c>
      <c r="I165" s="10" t="inlineStr">
        <is>
          <t>Ежедневно</t>
        </is>
      </c>
      <c r="J165" s="10" t="n">
        <v>3</v>
      </c>
      <c r="L165" s="10" t="inlineStr">
        <is>
          <t>Этап 6c: не нужен — Trinity College events: в JSON-LD только встречи выпускников (Лондон, Токио, Нью-Йорк), публичных событий нет Этап 7b: подключён — публичные лекции (Birkbeck Lectures, /about/public-lectures/); встречи выпускников отсекаются (решение этапа 6c «не нужен» пересмотрено).</t>
        </is>
      </c>
      <c r="N165" s="10" t="inlineStr">
        <is>
          <t>разрешено</t>
        </is>
      </c>
      <c r="O165" s="10" t="inlineStr">
        <is>
          <t>2026-09-30</t>
        </is>
      </c>
      <c r="P165" s="10" t="inlineStr"/>
    </row>
    <row r="166">
      <c r="A166" s="10" t="inlineStr">
        <is>
          <t>S167</t>
        </is>
      </c>
      <c r="B166" s="10" t="inlineStr">
        <is>
          <t>Кино</t>
        </is>
      </c>
      <c r="C166" s="10" t="inlineStr">
        <is>
          <t>Календарь релизов UK (thepeoplesmovies.com + сверка mediamole.co.uk)</t>
        </is>
      </c>
      <c r="D166" s="10" t="inlineStr">
        <is>
          <t>Календарь</t>
        </is>
      </c>
      <c r="E166" s="10" t="inlineStr">
        <is>
          <t>https://thepeoplesmovies.com/uk-release-dates-2026-2027</t>
        </is>
      </c>
      <c r="F166" s="10" t="inlineStr"/>
      <c r="G166" s="10" t="inlineStr">
        <is>
          <t>Великобритания</t>
        </is>
      </c>
      <c r="H166" s="10" t="inlineStr"/>
      <c r="I166" s="10" t="inlineStr">
        <is>
          <t>Еженедельно</t>
        </is>
      </c>
      <c r="J166" s="10" t="n">
        <v>2</v>
      </c>
      <c r="L166" s="10" t="inlineStr">
        <is>
          <t>Этап 6d: новые фильмы недели для строки «В прокате с пятницы»; FDA launchingfilms.com — бот-защита, findanyfilm.com — заглушка, TMDB — нужен ключ (не регистрировались).</t>
        </is>
      </c>
    </row>
    <row r="167">
      <c r="A167" s="10" t="inlineStr">
        <is>
          <t>S168</t>
        </is>
      </c>
      <c r="B167" s="10" t="inlineStr">
        <is>
          <t>Театр</t>
        </is>
      </c>
      <c r="C167" s="10" t="inlineStr">
        <is>
          <t>Camdram — все площадки</t>
        </is>
      </c>
      <c r="D167" s="10" t="inlineStr">
        <is>
          <t>Агрегатор</t>
        </is>
      </c>
      <c r="E167" s="10" t="inlineStr">
        <is>
          <t>https://www.camdram.net/diary.json</t>
        </is>
      </c>
      <c r="F167" s="10" t="inlineStr">
        <is>
          <t>Corpus Playroom, театры колледжей (Fitzpatrick Hall, Robinson Brickhouse, Pembroke New Cellars, Howard Theatre)</t>
        </is>
      </c>
      <c r="G167" s="10" t="inlineStr">
        <is>
          <t>Центр</t>
        </is>
      </c>
      <c r="H167" s="10" t="inlineStr">
        <is>
          <t>JSON</t>
        </is>
      </c>
      <c r="I167" s="10" t="inlineStr">
        <is>
          <t>Ежедневно</t>
        </is>
      </c>
      <c r="J167" s="10" t="n">
        <v>2</v>
      </c>
      <c r="K167" s="10" t="inlineStr">
        <is>
          <t>да</t>
        </is>
      </c>
      <c r="L167" s="10" t="inlineStr">
        <is>
          <t>Этап 7b: общий дневник Camdram (JSON), площадки ADC — S042.</t>
        </is>
      </c>
      <c r="N167" s="10" t="inlineStr">
        <is>
          <t>разрешено</t>
        </is>
      </c>
      <c r="O167" s="10" t="inlineStr">
        <is>
          <t>2026-09-30</t>
        </is>
      </c>
    </row>
    <row r="168">
      <c r="A168" s="10" t="inlineStr">
        <is>
          <t>S169</t>
        </is>
      </c>
      <c r="B168" s="10" t="inlineStr">
        <is>
          <t>Колледжи</t>
        </is>
      </c>
      <c r="C168" s="10" t="inlineStr">
        <is>
          <t>Churchill College + Churchill Archives Centre</t>
        </is>
      </c>
      <c r="D168" s="10" t="inlineStr">
        <is>
          <t>Колледж</t>
        </is>
      </c>
      <c r="E168" s="10" t="inlineStr">
        <is>
          <t>https://www.chu.cam.ac.uk/events/list/</t>
        </is>
      </c>
      <c r="F168" s="10" t="inlineStr">
        <is>
          <t>публичные лекции и события</t>
        </is>
      </c>
      <c r="G168" s="10" t="inlineStr">
        <is>
          <t>Центр</t>
        </is>
      </c>
      <c r="H168" s="10" t="inlineStr">
        <is>
          <t>HTML + Haiku</t>
        </is>
      </c>
      <c r="I168" s="10" t="inlineStr">
        <is>
          <t>Ежедневно</t>
        </is>
      </c>
      <c r="J168" s="10" t="n">
        <v>2</v>
      </c>
      <c r="K168" s="10" t="inlineStr">
        <is>
          <t>да</t>
        </is>
      </c>
      <c r="L168" s="10" t="inlineStr">
        <is>
          <t>Этап 7b: Haiku по странице событий; выпускники и студенты — не берём.</t>
        </is>
      </c>
      <c r="N168" s="10" t="inlineStr">
        <is>
          <t>разрешено</t>
        </is>
      </c>
      <c r="O168" s="10" t="inlineStr">
        <is>
          <t>2026-09-30</t>
        </is>
      </c>
    </row>
    <row r="169">
      <c r="A169" s="10" t="inlineStr">
        <is>
          <t>S170</t>
        </is>
      </c>
      <c r="B169" s="10" t="inlineStr">
        <is>
          <t>Колледжи</t>
        </is>
      </c>
      <c r="C169" s="10" t="inlineStr">
        <is>
          <t>Clare Hall</t>
        </is>
      </c>
      <c r="D169" s="10" t="inlineStr">
        <is>
          <t>Колледж</t>
        </is>
      </c>
      <c r="E169" s="10" t="inlineStr">
        <is>
          <t>https://www.clarehall.cam.ac.uk/events/</t>
        </is>
      </c>
      <c r="F169" s="10" t="inlineStr">
        <is>
          <t>лекции, концерты, выставки</t>
        </is>
      </c>
      <c r="G169" s="10" t="inlineStr">
        <is>
          <t>Центр</t>
        </is>
      </c>
      <c r="H169" s="10" t="inlineStr">
        <is>
          <t>HTML + Haiku</t>
        </is>
      </c>
      <c r="I169" s="10" t="inlineStr">
        <is>
          <t>Ежедневно</t>
        </is>
      </c>
      <c r="J169" s="10" t="n">
        <v>2</v>
      </c>
      <c r="K169" s="10" t="inlineStr">
        <is>
          <t>да</t>
        </is>
      </c>
      <c r="L169" s="10" t="inlineStr">
        <is>
          <t>Этап 7b</t>
        </is>
      </c>
      <c r="N169" s="10" t="inlineStr">
        <is>
          <t>разрешено</t>
        </is>
      </c>
      <c r="O169" s="10" t="inlineStr">
        <is>
          <t>2026-09-30</t>
        </is>
      </c>
    </row>
    <row r="170">
      <c r="A170" s="10" t="inlineStr">
        <is>
          <t>S171</t>
        </is>
      </c>
      <c r="B170" s="10" t="inlineStr">
        <is>
          <t>Колледжи</t>
        </is>
      </c>
      <c r="C170" s="10" t="inlineStr">
        <is>
          <t>Lucy Cavendish College</t>
        </is>
      </c>
      <c r="D170" s="10" t="inlineStr">
        <is>
          <t>Колледж</t>
        </is>
      </c>
      <c r="E170" s="10" t="inlineStr">
        <is>
          <t>https://www.lucy.cam.ac.uk/events</t>
        </is>
      </c>
      <c r="F170" s="10" t="inlineStr">
        <is>
          <t>лекции, панели</t>
        </is>
      </c>
      <c r="G170" s="10" t="inlineStr">
        <is>
          <t>Центр</t>
        </is>
      </c>
      <c r="H170" s="10" t="inlineStr">
        <is>
          <t>HTML + Haiku</t>
        </is>
      </c>
      <c r="I170" s="10" t="inlineStr">
        <is>
          <t>Ежедневно</t>
        </is>
      </c>
      <c r="J170" s="10" t="n">
        <v>2</v>
      </c>
      <c r="K170" s="10" t="inlineStr">
        <is>
          <t>да</t>
        </is>
      </c>
      <c r="L170" s="10" t="inlineStr">
        <is>
          <t>Этап 7b</t>
        </is>
      </c>
      <c r="N170" s="10" t="inlineStr">
        <is>
          <t>разрешено</t>
        </is>
      </c>
      <c r="O170" s="10" t="inlineStr">
        <is>
          <t>2026-09-30</t>
        </is>
      </c>
    </row>
    <row r="171">
      <c r="A171" s="10" t="inlineStr">
        <is>
          <t>S172</t>
        </is>
      </c>
      <c r="B171" s="10" t="inlineStr">
        <is>
          <t>Колледжи</t>
        </is>
      </c>
      <c r="C171" s="10" t="inlineStr">
        <is>
          <t>Robinson College</t>
        </is>
      </c>
      <c r="D171" s="10" t="inlineStr">
        <is>
          <t>Колледж</t>
        </is>
      </c>
      <c r="E171" s="10" t="inlineStr">
        <is>
          <t>https://www.robinson.cam.ac.uk/events</t>
        </is>
      </c>
      <c r="F171" s="10" t="inlineStr">
        <is>
          <t>концерты</t>
        </is>
      </c>
      <c r="G171" s="10" t="inlineStr">
        <is>
          <t>Центр</t>
        </is>
      </c>
      <c r="H171" s="10" t="inlineStr">
        <is>
          <t>HTML + Haiku</t>
        </is>
      </c>
      <c r="I171" s="10" t="inlineStr">
        <is>
          <t>Ежедневно</t>
        </is>
      </c>
      <c r="J171" s="10" t="n">
        <v>2</v>
      </c>
      <c r="K171" s="10" t="inlineStr">
        <is>
          <t>да</t>
        </is>
      </c>
      <c r="L171" s="10" t="inlineStr">
        <is>
          <t>Этап 7b: внутренние занятия для студентов отсекаются</t>
        </is>
      </c>
      <c r="N171" s="10" t="inlineStr">
        <is>
          <t>разрешено</t>
        </is>
      </c>
      <c r="O171" s="10" t="inlineStr">
        <is>
          <t>2026-09-30</t>
        </is>
      </c>
    </row>
    <row r="172">
      <c r="A172" s="10" t="inlineStr">
        <is>
          <t>S173</t>
        </is>
      </c>
      <c r="B172" s="10" t="inlineStr">
        <is>
          <t>Колледжи</t>
        </is>
      </c>
      <c r="C172" s="10" t="inlineStr">
        <is>
          <t>St Edmund's College — Von Hügel Institute</t>
        </is>
      </c>
      <c r="D172" s="10" t="inlineStr">
        <is>
          <t>Колледж</t>
        </is>
      </c>
      <c r="E172" s="10" t="inlineStr">
        <is>
          <t>https://www.st-edmunds.cam.ac.uk/the-vhi/vhi-events/</t>
        </is>
      </c>
      <c r="F172" s="10" t="inlineStr">
        <is>
          <t>публичные лекции VHI</t>
        </is>
      </c>
      <c r="G172" s="10" t="inlineStr">
        <is>
          <t>Центр</t>
        </is>
      </c>
      <c r="H172" s="10" t="inlineStr">
        <is>
          <t>HTML + Haiku</t>
        </is>
      </c>
      <c r="I172" s="10" t="inlineStr">
        <is>
          <t>Ежедневно</t>
        </is>
      </c>
      <c r="J172" s="10" t="n">
        <v>2</v>
      </c>
      <c r="K172" s="10" t="inlineStr">
        <is>
          <t>да</t>
        </is>
      </c>
      <c r="L172" s="10" t="inlineStr">
        <is>
          <t>Этап 7b</t>
        </is>
      </c>
      <c r="N172" s="10" t="inlineStr">
        <is>
          <t>разрешено</t>
        </is>
      </c>
      <c r="O172" s="10" t="inlineStr">
        <is>
          <t>2026-09-30</t>
        </is>
      </c>
    </row>
    <row r="173">
      <c r="A173" s="10" t="inlineStr">
        <is>
          <t>S174</t>
        </is>
      </c>
      <c r="B173" s="10" t="inlineStr">
        <is>
          <t>Колледжи</t>
        </is>
      </c>
      <c r="C173" s="10" t="inlineStr">
        <is>
          <t>Girton College</t>
        </is>
      </c>
      <c r="D173" s="10" t="inlineStr">
        <is>
          <t>Колледж</t>
        </is>
      </c>
      <c r="E173" s="10" t="inlineStr">
        <is>
          <t>https://www.girton.cam.ac.uk/upcoming-events</t>
        </is>
      </c>
      <c r="F173" s="10" t="inlineStr">
        <is>
          <t>концерты, лекции</t>
        </is>
      </c>
      <c r="G173" s="10" t="inlineStr">
        <is>
          <t>Центр</t>
        </is>
      </c>
      <c r="H173" s="10" t="inlineStr">
        <is>
          <t>HTML + Haiku</t>
        </is>
      </c>
      <c r="I173" s="10" t="inlineStr">
        <is>
          <t>Ежедневно</t>
        </is>
      </c>
      <c r="J173" s="10" t="n">
        <v>2</v>
      </c>
      <c r="K173" s="10" t="inlineStr">
        <is>
          <t>да</t>
        </is>
      </c>
      <c r="L173" s="10" t="inlineStr">
        <is>
          <t>Этап 7b</t>
        </is>
      </c>
      <c r="N173" s="10" t="inlineStr">
        <is>
          <t>разрешено</t>
        </is>
      </c>
      <c r="O173" s="10" t="inlineStr">
        <is>
          <t>2026-09-30</t>
        </is>
      </c>
    </row>
    <row r="174">
      <c r="A174" s="10" t="inlineStr">
        <is>
          <t>S175</t>
        </is>
      </c>
      <c r="B174" s="10" t="inlineStr">
        <is>
          <t>Колледжи</t>
        </is>
      </c>
      <c r="C174" s="10" t="inlineStr">
        <is>
          <t>Hughes Hall</t>
        </is>
      </c>
      <c r="D174" s="10" t="inlineStr">
        <is>
          <t>Колледж</t>
        </is>
      </c>
      <c r="E174" s="10" t="inlineStr">
        <is>
          <t>https://www.hughes.cam.ac.uk/about/events/</t>
        </is>
      </c>
      <c r="F174" s="10" t="inlineStr">
        <is>
          <t>публичные лекции, ярмарки</t>
        </is>
      </c>
      <c r="G174" s="10" t="inlineStr">
        <is>
          <t>Центр</t>
        </is>
      </c>
      <c r="H174" s="10" t="inlineStr">
        <is>
          <t>HTML + Haiku</t>
        </is>
      </c>
      <c r="I174" s="10" t="inlineStr">
        <is>
          <t>Ежедневно</t>
        </is>
      </c>
      <c r="J174" s="10" t="n">
        <v>2</v>
      </c>
      <c r="K174" s="10" t="inlineStr">
        <is>
          <t>да</t>
        </is>
      </c>
      <c r="L174" s="10" t="inlineStr">
        <is>
          <t>Этап 7b: большинство событий — для студентов, отсекаются</t>
        </is>
      </c>
      <c r="N174" s="10" t="inlineStr">
        <is>
          <t>разрешено</t>
        </is>
      </c>
      <c r="O174" s="10" t="inlineStr">
        <is>
          <t>2026-09-30</t>
        </is>
      </c>
    </row>
    <row r="175">
      <c r="A175" t="inlineStr">
        <is>
          <t>S176</t>
        </is>
      </c>
      <c r="B175" t="inlineStr">
        <is>
          <t>Лекции</t>
        </is>
      </c>
      <c r="C175" t="inlineStr">
        <is>
          <t>Varsity — статьи о Cambridge Union</t>
        </is>
      </c>
      <c r="D175" t="inlineStr">
        <is>
          <t>СМИ (RSS)</t>
        </is>
      </c>
      <c r="E175" t="inlineStr">
        <is>
          <t>https://www.varsity.co.uk/news</t>
        </is>
      </c>
      <c r="F175" t="inlineStr">
        <is>
          <t>анонсы termcard и гостей Union («… to speak at the Union»)</t>
        </is>
      </c>
      <c r="G175" t="inlineStr">
        <is>
          <t>Центр</t>
        </is>
      </c>
      <c r="H175" t="inlineStr">
        <is>
          <t>RSS + Haiku (только статьи о Union)</t>
        </is>
      </c>
      <c r="I175" t="inlineStr">
        <is>
          <t>Ежедневно</t>
        </is>
      </c>
      <c r="J175" t="n">
        <v>2</v>
      </c>
      <c r="K175" t="inlineStr">
        <is>
          <t>да</t>
        </is>
      </c>
      <c r="L175" t="inlineStr">
        <is>
          <t>Этап 7c: статья о termcard выходит в первые дни триместра (Michaelmas 2025 — 5 октября), но даты в ней есть не у всех гостей. Гости и даты — кандидаты; подтверждение — termcard (S177) или cus.org (S049).</t>
        </is>
      </c>
      <c r="M175" t="inlineStr">
        <is>
          <t>http://feeds.varsity.co.uk/varsity/news</t>
        </is>
      </c>
      <c r="N175" t="inlineStr">
        <is>
          <t>разрешено; ИИ-агенты не закрыты; robots.txt feeds.varsity — 404</t>
        </is>
      </c>
      <c r="O175" t="inlineStr">
        <is>
          <t>2026-09-30</t>
        </is>
      </c>
    </row>
    <row r="176">
      <c r="A176" t="inlineStr">
        <is>
          <t>S177</t>
        </is>
      </c>
      <c r="B176" t="inlineStr">
        <is>
          <t>Лекции</t>
        </is>
      </c>
      <c r="C176" t="inlineStr">
        <is>
          <t>Cambridge Union — termcard на Issuu</t>
        </is>
      </c>
      <c r="D176" t="inlineStr">
        <is>
          <t>Журнал (изображения)</t>
        </is>
      </c>
      <c r="E176" t="inlineStr">
        <is>
          <t>https://issuu.com/thecambridgeunion</t>
        </is>
      </c>
      <c r="F176" t="inlineStr">
        <is>
          <t>вся программа триместра: дебаты, гости, панели, светские события, доступ</t>
        </is>
      </c>
      <c r="G176" t="inlineStr">
        <is>
          <t>Центр</t>
        </is>
      </c>
      <c r="H176" t="inlineStr">
        <is>
          <t>Изображения страниц → один запрос к модели с изображениями (Haiku)</t>
        </is>
      </c>
      <c r="I176" t="inlineStr">
        <is>
          <t>Раз в триместр</t>
        </is>
      </c>
      <c r="J176" t="n">
        <v>2</v>
      </c>
      <c r="K176" t="inlineStr">
        <is>
          <t>да</t>
        </is>
      </c>
      <c r="L176" t="inlineStr">
        <is>
          <t>Этап 7c: проверено на Michaelmas 2025 (84 стр., 30 событий, $0.14), Lent 2026 (88 стр., 41, $0.15), Easter 2026 (66 стр., 24, $0.11). Termcard выкладывается на Issuu через 1–2 недели после начала триместра (Michaelmas 2025 — 20 октября, Easter 2026 — 29 апреля). YouTube не используем.</t>
        </is>
      </c>
      <c r="M176" t="inlineStr">
        <is>
          <t>https://image.isu.pub/&lt;id документа&gt;/jpg/page_N.jpg</t>
        </is>
      </c>
      <c r="N176" t="inlineStr">
        <is>
          <t>разрешено (issuu.com: /…/docs/ открыт для всех агентов; image.isu.pub: robots.txt 403 — правил нет)</t>
        </is>
      </c>
      <c r="O176" t="inlineStr">
        <is>
          <t>2026-09-30</t>
        </is>
      </c>
    </row>
  </sheetData>
  <autoFilter ref="A1:O98"/>
  <dataValidations count="3">
    <dataValidation sqref="J2:J500" showDropDown="0" showInputMessage="0" showErrorMessage="0" allowBlank="1" type="list" errorStyle="stop" operator="between">
      <formula1>"1,2,3"</formula1>
      <formula2>0</formula2>
    </dataValidation>
    <dataValidation sqref="K2:K500" showDropDown="0" showInputMessage="0" showErrorMessage="0" allowBlank="1" type="list" errorStyle="stop" operator="between">
      <formula1>"да,проверить,нет"</formula1>
      <formula2>0</formula2>
    </dataValidation>
    <dataValidation sqref="G2:G500" showDropDown="0" showInputMessage="0" showErrorMessage="0" allowBlank="1" type="list" errorStyle="stop" operator="between">
      <formula1>"Центр,30 мин,Час,Центр + 30 мин,Центр + час,30 мин + час"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style="11" min="1" max="1"/>
    <col width="36" customWidth="1" style="11" min="2" max="2"/>
    <col width="12" customWidth="1" style="11" min="3" max="3"/>
    <col width="18" customWidth="1" style="11" min="4" max="4"/>
    <col width="50" customWidth="1" style="11" min="5" max="5"/>
    <col width="70" customWidth="1" style="11" min="6" max="6"/>
    <col width="5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URL проверен</t>
        </is>
      </c>
      <c r="D1" s="20" t="inlineStr">
        <is>
          <t>Способ сбора</t>
        </is>
      </c>
      <c r="E1" s="20" t="inlineStr">
        <is>
          <t>Endpoint</t>
        </is>
      </c>
      <c r="F1" s="20" t="inlineStr">
        <is>
          <t>Что нашёл</t>
        </is>
      </c>
      <c r="G1" s="20" t="inlineStr">
        <is>
          <t>Что не получилось</t>
        </is>
      </c>
    </row>
    <row r="2">
      <c r="A2" s="21" t="inlineStr">
        <is>
          <t>S001</t>
        </is>
      </c>
      <c r="B2" s="21" t="inlineStr">
        <is>
          <t>Visit Cambridge — events</t>
        </is>
      </c>
      <c r="C2" s="22" t="inlineStr">
        <is>
          <t>да</t>
        </is>
      </c>
      <c r="D2" s="21" t="inlineStr">
        <is>
          <t>API + HTML</t>
        </is>
      </c>
      <c r="E2" s="21" t="inlineStr">
        <is>
          <t>https://www.visitcambridge.org/wp-json/vc-map/v1/events</t>
        </is>
      </c>
      <c r="F2" s="21" t="inlineStr">
        <is>
          <t>https://www.visitcambridge.org — 200; alternate-фиды: https://www.visitcambridge.org/wp-json/wp/v2/pages/26, https://www.visitcambridge.org/wp-json/oembed/1.0/embed?url=https%3A%2F%2Fwww.visitcambridge.org%2F; WordPress
https://www.visitcambridge.org/whats-on/ — 200; alternate-фиды: https://www.visitcambridge.org/wp-json/wp/v2/pages/553, https://www.visitcambridge.org/wp-json/oembed/1.0/embed?url=https%3A%2F%2Fwww.visitcambridge.org%2Fwhats-on%2F; WordPress
https://www.visitcambridge.org/event-categories/festivals/ — 200; alternate-фиды: https://www.visitcambridge.org/event-categories/festivals/feed/; WordPress
https://www.visitcambridge.org/wp-json/vc-map/v1/events — 200; JSON</t>
        </is>
      </c>
      <c r="G2" s="21" t="inlineStr"/>
    </row>
    <row r="3">
      <c r="A3" s="21" t="inlineStr">
        <is>
          <t>S002</t>
        </is>
      </c>
      <c r="B3" s="21" t="inlineStr">
        <is>
          <t>What's On In Cambridge</t>
        </is>
      </c>
      <c r="C3" s="22" t="inlineStr">
        <is>
          <t>да</t>
        </is>
      </c>
      <c r="D3" s="21" t="inlineStr">
        <is>
          <t>RSS</t>
        </is>
      </c>
      <c r="E3" s="21" t="inlineStr">
        <is>
          <t>https://www.whatsonincambridge.com/feed/</t>
        </is>
      </c>
      <c r="F3" s="21" t="inlineStr">
        <is>
          <t>https://www.whatsonincambridge.com/__superjs/challenge?u=%2Fevents%2F — 200
https://www.whatsonincambridge.com/feed/ — 200; фид, записей: 10</t>
        </is>
      </c>
      <c r="G3" s="21" t="inlineStr">
        <is>
          <t>https://www.whatsonincambridge.com/events/ — JS-проверка «SuperJS» (бот-блок), HTML без браузера недоступен</t>
        </is>
      </c>
    </row>
    <row r="4">
      <c r="A4" s="21" t="inlineStr">
        <is>
          <t>S003</t>
        </is>
      </c>
      <c r="B4" s="21" t="inlineStr">
        <is>
          <t>Cambridge Independent — What's On</t>
        </is>
      </c>
      <c r="C4" s="22" t="inlineStr">
        <is>
          <t>да</t>
        </is>
      </c>
      <c r="D4" s="21" t="inlineStr">
        <is>
          <t>RSS</t>
        </is>
      </c>
      <c r="E4" s="21" t="inlineStr">
        <is>
          <t>https://www.cambridgeindependent.co.uk/_api/rss/cambridge_independent_whatson_feed.xml</t>
        </is>
      </c>
      <c r="F4" s="21" t="inlineStr">
        <is>
          <t>https://www.cambridgeindependent.co.uk/whats-on/ — 200
https://www.cambridgeindependent.co.uk/_api/rss/cambridge_independent_whatson_feed.xml — 200; фид, записей: 20</t>
        </is>
      </c>
      <c r="G4" s="21" t="inlineStr"/>
    </row>
    <row r="5">
      <c r="A5" s="21" t="inlineStr">
        <is>
          <t>S004</t>
        </is>
      </c>
      <c r="B5" s="21" t="inlineStr">
        <is>
          <t>Cambridge News / CambridgeshireLive</t>
        </is>
      </c>
      <c r="C5" s="22" t="inlineStr">
        <is>
          <t>да</t>
        </is>
      </c>
      <c r="D5" s="21" t="inlineStr">
        <is>
          <t>RSS</t>
        </is>
      </c>
      <c r="E5" s="21" t="inlineStr">
        <is>
          <t>https://www.cambridge-news.co.uk/whats-on/?service=rss</t>
        </is>
      </c>
      <c r="F5" s="21" t="inlineStr">
        <is>
          <t>https://www.cambridge-news.co.uk — 200; alternate-фиды: https://www.cambridge-news.co.uk/rss.xml
https://www.cambridge-news.co.uk/whats-on/ — 200; alternate-фиды: https://www.cambridge-news.co.uk/whats-on/rss.xml; билетная система: ecal
https://www.cambridge-news.co.uk/?service=rss — 200; фид, записей: 25
https://www.cambridge-news.co.uk/whats-on/?service=rss — 200; фид, записей: 15
https://www.cambridge-news.co.uk/whats-on/?service=rss — 200; фид, записей: 15</t>
        </is>
      </c>
      <c r="G5" s="21" t="inlineStr"/>
    </row>
    <row r="6">
      <c r="A6" s="21" t="inlineStr">
        <is>
          <t>S005</t>
        </is>
      </c>
      <c r="B6" s="21" t="inlineStr">
        <is>
          <t>Cambridge 105 — события</t>
        </is>
      </c>
      <c r="C6" s="22" t="inlineStr">
        <is>
          <t>да</t>
        </is>
      </c>
      <c r="D6" s="21" t="inlineStr">
        <is>
          <t>iCal</t>
        </is>
      </c>
      <c r="E6" s="21" t="inlineStr">
        <is>
          <t>https://cambridge105.co.uk/whatson/?ical=1</t>
        </is>
      </c>
      <c r="F6" s="21" t="inlineStr">
        <is>
          <t>https://cambridge105.co.uk — 200; alternate-фиды: https://cambridge105.co.uk/whatson/?ical=1, https://cambridge105.co.uk/wp-json/wp/v2/pages/44141, https://cambridge105.co.uk/wp-json/oembed/1.0/embed?url=https%3A%2F%2Fcambridge105.co.uk%2F; WordPress
https://cambridge105.co.uk/events/ — 200; alternate-фиды: https://cambridge105.co.uk/whatson/?ical=1, https://cambridge105.co.uk/wp-json/wp/v2/media/75261, https://cambridge105.co.uk/wp-json/oembed/1.0/embed?url=https%3A%2F%2Fcambridge105.co.uk%2Fevents%2F; WordPress
https://cambridge105.co.uk/feed/ — 200; фид, записей: 30
https://cambridge105.co.uk/events/?ical=1 — 200; iCal, событий: 22
https://cambridge105.co.uk/wp-json/tribe/events/v1/events — 200; JSON
https://cambridge105.co.uk/whatson/?ical=1 — 200; iCal, событий: 22</t>
        </is>
      </c>
      <c r="G6" s="21" t="inlineStr"/>
    </row>
    <row r="7">
      <c r="A7" s="21" t="inlineStr">
        <is>
          <t>S006</t>
        </is>
      </c>
      <c r="B7" s="21" t="inlineStr">
        <is>
          <t>Ents24 — Cambridge</t>
        </is>
      </c>
      <c r="C7" s="22" t="inlineStr">
        <is>
          <t>да</t>
        </is>
      </c>
      <c r="D7" s="21" t="inlineStr">
        <is>
          <t>JSON-LD</t>
        </is>
      </c>
      <c r="E7" s="21" t="inlineStr">
        <is>
          <t>https://www.ents24.com/whatson/cambridge</t>
        </is>
      </c>
      <c r="F7" s="21" t="inlineStr">
        <is>
          <t>https://www.ents24.com/whatson/cambridge — 200; JSON-LD Event: 37; билетная система: ents24, gigantic</t>
        </is>
      </c>
      <c r="G7" s="21" t="inlineStr"/>
    </row>
    <row r="8">
      <c r="A8" s="21" t="inlineStr">
        <is>
          <t>S007</t>
        </is>
      </c>
      <c r="B8" s="21" t="inlineStr">
        <is>
          <t>Skiddle — Cambridge</t>
        </is>
      </c>
      <c r="C8" s="22" t="inlineStr">
        <is>
          <t>да</t>
        </is>
      </c>
      <c r="D8" s="21" t="inlineStr">
        <is>
          <t>JSON-LD</t>
        </is>
      </c>
      <c r="E8" s="21" t="inlineStr">
        <is>
          <t>https://www.skiddle.com/whats-on/Cambridge/</t>
        </is>
      </c>
      <c r="F8" s="21" t="inlineStr">
        <is>
          <t>https://www.skiddle.com/whats-on/Cambridge/ — 200; JSON-LD Event: 49; билетная система: ecal, skiddle
https://www.skiddle.com/api/ — 200; билетная система: skiddle</t>
        </is>
      </c>
      <c r="G8" s="21" t="inlineStr"/>
    </row>
    <row r="9">
      <c r="A9" s="21" t="inlineStr">
        <is>
          <t>S008</t>
        </is>
      </c>
      <c r="B9" s="21" t="inlineStr">
        <is>
          <t>Eventbrite — Cambridge</t>
        </is>
      </c>
      <c r="C9" s="22" t="inlineStr">
        <is>
          <t>да</t>
        </is>
      </c>
      <c r="D9" s="21" t="inlineStr">
        <is>
          <t>JSON-LD</t>
        </is>
      </c>
      <c r="E9" s="21" t="inlineStr">
        <is>
          <t>https://www.eventbrite.co.uk/d/united-kingdom--cambridge/all-events/?page=N</t>
        </is>
      </c>
      <c r="F9" s="21" t="inlineStr">
        <is>
          <t>https://www.eventbrite.co.uk — 200; билетная система: eventbrite
https://www.eventbrite.co.uk/d/united-kingdom--cambridge/all-events/ — 200; JSON-LD Event: 20; билетная система: eventbrite</t>
        </is>
      </c>
      <c r="G9" s="21" t="inlineStr"/>
    </row>
    <row r="10">
      <c r="A10" s="21" t="inlineStr">
        <is>
          <t>S011</t>
        </is>
      </c>
      <c r="B10" s="21" t="inlineStr">
        <is>
          <t>Cambridge Corn Exchange</t>
        </is>
      </c>
      <c r="C10" s="22" t="inlineStr">
        <is>
          <t>да</t>
        </is>
      </c>
      <c r="D10" s="21" t="inlineStr">
        <is>
          <t>HTML + JSON-LD</t>
        </is>
      </c>
      <c r="E10" s="21" t="inlineStr">
        <is>
          <t>https://www.cornex.co.uk/events</t>
        </is>
      </c>
      <c r="F10" s="21" t="inlineStr">
        <is>
          <t>https://www.cambridgelivetickets.co.uk/ — 200
https://www.cornex.co.uk — 200
https://www.cornex.co.uk/events — 200
https://www.cambridgelivetickets.co.uk — 200
https://www.cornex.co.uk/events/alison-moyet-2 — 200; JSON-LD Event: 1</t>
        </is>
      </c>
      <c r="G10" s="21" t="inlineStr"/>
    </row>
    <row r="11">
      <c r="A11" s="21" t="inlineStr">
        <is>
          <t>S012</t>
        </is>
      </c>
      <c r="B11" s="21" t="inlineStr">
        <is>
          <t>Cambridge Junction</t>
        </is>
      </c>
      <c r="C11" s="22" t="inlineStr">
        <is>
          <t>да</t>
        </is>
      </c>
      <c r="D11" s="21" t="inlineStr">
        <is>
          <t>API + HTML</t>
        </is>
      </c>
      <c r="E11" s="21" t="inlineStr">
        <is>
          <t>https://www.junction.co.uk/wp-json/wp/v2/cj_events</t>
        </is>
      </c>
      <c r="F11" s="21" t="inlineStr">
        <is>
          <t>https://www.junction.co.uk — 200; alternate-фиды: https://www.junction.co.uk/feed/, https://www.junction.co.uk/comments/feed/, https://www.junction.co.uk/wp-json/oembed/1.0/embed?url=https%3A%2F%2Fwww.junction.co.uk%2F; WordPress; билетная система: ecal, spektrix
https://www.junction.co.uk/whats-on/ — 200; alternate-фиды: https://www.junction.co.uk/feed/, https://www.junction.co.uk/comments/feed/, https://www.junction.co.uk/wp-json/oembed/1.0/embed?url=https%3A%2F%2Fwww.junction.co.uk%2Fwhats-on%2F; WordPress; билетная система: ecal, spektrix
https://www.junction.co.uk/wp-json/wp/v2/cj_events?per_page=20 — 200; JSON
https://www.junction.co.uk/feed/ — 200; фид, записей: 12</t>
        </is>
      </c>
      <c r="G11" s="21" t="inlineStr"/>
    </row>
    <row r="12">
      <c r="A12" s="21" t="inlineStr">
        <is>
          <t>S018</t>
        </is>
      </c>
      <c r="B12" s="21" t="inlineStr">
        <is>
          <t>Cambridge United</t>
        </is>
      </c>
      <c r="C12" s="22" t="inlineStr">
        <is>
          <t>да</t>
        </is>
      </c>
      <c r="D12" s="21" t="inlineStr">
        <is>
          <t>iCal (fixtur.es) + HTML</t>
        </is>
      </c>
      <c r="E12" s="21" t="inlineStr">
        <is>
          <t>https://ics.fixtur.es/v2/home/cambridge-united-fc.ics</t>
        </is>
      </c>
      <c r="F12" s="21" t="inlineStr">
        <is>
          <t>https://www.cambridgeunited.com — 200
https://fixtur.es/en/team/cambridge-united-fc/home — 200; JSON-LD Event: 27
https://www.cambridgeunited.com/fixture/list/57 — 200
https://ics.fixtur.es/v2/home/cambridge-united-fc.ics — 200; iCal, событий: 188</t>
        </is>
      </c>
      <c r="G12" s="21" t="inlineStr"/>
    </row>
    <row r="13">
      <c r="A13" s="21" t="inlineStr">
        <is>
          <t>S021</t>
        </is>
      </c>
      <c r="B13" s="21" t="inlineStr">
        <is>
          <t>Newmarket Racecourses</t>
        </is>
      </c>
      <c r="C13" s="22" t="inlineStr">
        <is>
          <t>да</t>
        </is>
      </c>
      <c r="D13" s="21" t="inlineStr">
        <is>
          <t>JSON-LD</t>
        </is>
      </c>
      <c r="E13" s="21" t="inlineStr">
        <is>
          <t>https://www.thejockeyclub.co.uk/newmarket/events-tickets/</t>
        </is>
      </c>
      <c r="F13" s="21" t="inlineStr">
        <is>
          <t>https://www.thejockeyclub.co.uk/newmarket/ — 200
https://www.thejockeyclub.co.uk/newmarket/events-tickets/ — 200; JSON-LD Event: 14</t>
        </is>
      </c>
      <c r="G13" s="21" t="inlineStr"/>
    </row>
    <row r="14">
      <c r="A14" s="21" t="inlineStr">
        <is>
          <t>S026</t>
        </is>
      </c>
      <c r="B14" s="21" t="inlineStr">
        <is>
          <t>Chariots of Fire</t>
        </is>
      </c>
      <c r="C14" s="22" t="inlineStr">
        <is>
          <t>да</t>
        </is>
      </c>
      <c r="D14" s="21" t="inlineStr">
        <is>
          <t>JSON-LD (RunThrough)</t>
        </is>
      </c>
      <c r="E14" s="21" t="inlineStr">
        <is>
          <t>https://www.runthrough.co.uk/event/chariots-of-fire-september-2026</t>
        </is>
      </c>
      <c r="F14" s="21" t="inlineStr">
        <is>
          <t>https://www.chariots-of-fire.co.uk/ — 200; alternate-фиды: https://www.chariots-of-fire.co.uk/feed/, https://www.chariots-of-fire.co.uk/comments/feed/, https://www.chariots-of-fire.co.uk/wp-json/wp/v2/pages/21; WordPress
https://www.chariots-of-fire.co.uk/feed/ — 200; фид, записей: 10
https://www.runthrough.co.uk/event/chariots-of-fire-september-2026 — 200; JSON-LD Event: 1</t>
        </is>
      </c>
      <c r="G14" s="21" t="inlineStr"/>
    </row>
    <row r="15">
      <c r="A15" s="21" t="inlineStr">
        <is>
          <t>S028</t>
        </is>
      </c>
      <c r="B15" s="21" t="inlineStr">
        <is>
          <t>Cambridge Half Marathon</t>
        </is>
      </c>
      <c r="C15" s="22" t="inlineStr">
        <is>
          <t>да</t>
        </is>
      </c>
      <c r="D15" s="21" t="inlineStr">
        <is>
          <t>HTML</t>
        </is>
      </c>
      <c r="E15" s="21" t="inlineStr">
        <is>
          <t>https://cambridgehalfmarathon.com/</t>
        </is>
      </c>
      <c r="F15" s="21" t="inlineStr">
        <is>
          <t>https://cambridgehalfmarathon.com/ — 200</t>
        </is>
      </c>
      <c r="G15" s="21" t="inlineStr"/>
    </row>
    <row r="16">
      <c r="A16" s="21" t="inlineStr">
        <is>
          <t>S030</t>
        </is>
      </c>
      <c r="B16" s="21" t="inlineStr">
        <is>
          <t>Cambridge Festival (университет)</t>
        </is>
      </c>
      <c r="C16" s="22" t="inlineStr">
        <is>
          <t>да</t>
        </is>
      </c>
      <c r="D16" s="21" t="inlineStr">
        <is>
          <t>HTML (curl, пауза 10 с)</t>
        </is>
      </c>
      <c r="E16" s="21" t="inlineStr">
        <is>
          <t>https://www.festival.cam.ac.uk/events</t>
        </is>
      </c>
      <c r="F16" s="21" t="inlineStr">
        <is>
          <t>https://www.festival.cam.ac.uk/events — 200 через curl, robots.txt разрешает (Crawl-delay: 10); фидов и JSON-LD нет</t>
        </is>
      </c>
      <c r="G16" s="21" t="inlineStr">
        <is>
          <t>Pantheon отдаёт 403 Python-клиенту httpx (и на robots.txt), curl с тем же User-Agent — 200: блок по отпечатку клиента</t>
        </is>
      </c>
    </row>
    <row r="17">
      <c r="A17" s="21" t="inlineStr">
        <is>
          <t>S031</t>
        </is>
      </c>
      <c r="B17" s="21" t="inlineStr">
        <is>
          <t>Cambridge Folk Festival</t>
        </is>
      </c>
      <c r="C17" s="22" t="inlineStr">
        <is>
          <t>да</t>
        </is>
      </c>
      <c r="D17" s="21" t="inlineStr">
        <is>
          <t>HTML</t>
        </is>
      </c>
      <c r="E17" s="21" t="inlineStr">
        <is>
          <t>https://www.cambridgefolkfestival.co.uk/</t>
        </is>
      </c>
      <c r="F17" s="21" t="inlineStr">
        <is>
          <t>https://www.cambridgefolkfestival.co.uk/ — 200
https://www.cambridgefolkfestival.co.uk/ — 200</t>
        </is>
      </c>
      <c r="G17" s="21" t="inlineStr"/>
    </row>
    <row r="18">
      <c r="A18" s="21" t="inlineStr">
        <is>
          <t>S032</t>
        </is>
      </c>
      <c r="B18" s="21" t="inlineStr">
        <is>
          <t>Cambridge Beer Festival</t>
        </is>
      </c>
      <c r="C18" s="22" t="inlineStr">
        <is>
          <t>да</t>
        </is>
      </c>
      <c r="D18" s="21" t="inlineStr">
        <is>
          <t>iCal</t>
        </is>
      </c>
      <c r="E18" s="21" t="inlineStr">
        <is>
          <t>https://www.cambridgebeerfestival.com/events/?ical=1</t>
        </is>
      </c>
      <c r="F18" s="21" t="inlineStr">
        <is>
          <t>https://www.cambridgebeerfestival.com — 200; JSON-LD Event: 2; alternate-фиды: https://www.cambridgebeerfestival.com/events/?ical=1; WordPress + The Events Calendar; билетная система: ecal</t>
        </is>
      </c>
      <c r="G18" s="21" t="inlineStr"/>
    </row>
    <row r="19">
      <c r="A19" s="21" t="inlineStr">
        <is>
          <t>S033</t>
        </is>
      </c>
      <c r="B19" s="21" t="inlineStr">
        <is>
          <t>Strawberry Fair</t>
        </is>
      </c>
      <c r="C19" s="22" t="inlineStr">
        <is>
          <t>да</t>
        </is>
      </c>
      <c r="D19" s="21" t="inlineStr">
        <is>
          <t>JSON-LD</t>
        </is>
      </c>
      <c r="E19" s="21" t="inlineStr">
        <is>
          <t>https://strawberry-fair.org.uk/</t>
        </is>
      </c>
      <c r="F19" s="21" t="inlineStr">
        <is>
          <t>https://strawberry-fair.org.uk/ — 200; JSON-LD Event: 1
https://strawberry-fair.org.uk/feed/ — 200; JSON-LD Event: 1</t>
        </is>
      </c>
      <c r="G19" s="21" t="inlineStr"/>
    </row>
    <row r="20">
      <c r="A20" s="21" t="inlineStr">
        <is>
          <t>S038</t>
        </is>
      </c>
      <c r="B20" s="21" t="inlineStr">
        <is>
          <t>Mill Road Winter Fair</t>
        </is>
      </c>
      <c r="C20" s="22" t="inlineStr">
        <is>
          <t>да</t>
        </is>
      </c>
      <c r="D20" s="21" t="inlineStr">
        <is>
          <t>RSS</t>
        </is>
      </c>
      <c r="E20" s="21" t="inlineStr">
        <is>
          <t>https://www.millroadwinterfair.org/feed/</t>
        </is>
      </c>
      <c r="F20" s="21" t="inlineStr">
        <is>
          <t>https://www.millroadwinterfair.org — 200; alternate-фиды: https://www.millroadwinterfair.org/feed/, https://www.millroadwinterfair.org/comments/feed/, https://www.millroadwinterfair.org/wp-json/wp/v2/pages/22; WordPress
https://www.millroadwinterfair.org/feed/ — 200; фид, записей: 0</t>
        </is>
      </c>
      <c r="G20" s="21" t="inlineStr"/>
    </row>
    <row r="21">
      <c r="A21" s="21" t="inlineStr">
        <is>
          <t>S039</t>
        </is>
      </c>
      <c r="B21" s="21" t="inlineStr">
        <is>
          <t>Рождественские маркеты в центре</t>
        </is>
      </c>
      <c r="C21" s="22" t="inlineStr">
        <is>
          <t>да</t>
        </is>
      </c>
      <c r="D21" s="21" t="inlineStr">
        <is>
          <t>HTML</t>
        </is>
      </c>
      <c r="E21" s="21" t="inlineStr">
        <is>
          <t>https://www.christmasincambridge.co.uk/</t>
        </is>
      </c>
      <c r="F21" s="21" t="inlineStr">
        <is>
          <t>https://www.christmasincambridge.co.uk/ — 200
https://www.visitcambridge.org/event/christmas-in-cambridge/ — 200; alternate-фиды: https://www.visitcambridge.org/wp-json/oembed/1.0/embed?url=https%3A%2F%2Fwww.visitcambridge.org%2Fevent%2Fchristmas-in-cambridge%2F; WordPress</t>
        </is>
      </c>
      <c r="G21" s="21" t="inlineStr"/>
    </row>
    <row r="22">
      <c r="A22" s="21" t="inlineStr">
        <is>
          <t>S041</t>
        </is>
      </c>
      <c r="B22" s="21" t="inlineStr">
        <is>
          <t>Cambridge Arts Theatre</t>
        </is>
      </c>
      <c r="C22" s="23" t="inlineStr">
        <is>
          <t>проверить</t>
        </is>
      </c>
      <c r="D22" s="21" t="inlineStr">
        <is>
          <t>Через Ents24 (S006)</t>
        </is>
      </c>
      <c r="E22" s="21" t="inlineStr"/>
      <c r="F22" s="21" t="inlineStr"/>
      <c r="G22" s="21" t="inlineStr">
        <is>
          <t>https://www.artstheatre.co.uk — 403, Cloudflare challenge (cf-mitigated) и для httpx, и для curl</t>
        </is>
      </c>
    </row>
    <row r="23">
      <c r="A23" s="21" t="inlineStr">
        <is>
          <t>S042</t>
        </is>
      </c>
      <c r="B23" s="21" t="inlineStr">
        <is>
          <t>ADC Theatre</t>
        </is>
      </c>
      <c r="C23" s="22" t="inlineStr">
        <is>
          <t>да</t>
        </is>
      </c>
      <c r="D23" s="21" t="inlineStr">
        <is>
          <t>iCal</t>
        </is>
      </c>
      <c r="E23" s="21" t="inlineStr">
        <is>
          <t>https://www.camdram.net/venues/adc-theatre/diary.ics</t>
        </is>
      </c>
      <c r="F23" s="21" t="inlineStr">
        <is>
          <t>https://www.adctheatre.com — 200; билетная система: spektrix
https://www.adctheatre.com/whats-on/ — 200; билетная система: spektrix
https://www.camdram.net/venues/adc-theatre/diary.ics — 200; iCal, событий: 28
https://www.camdram.net/venues/adc-theatre/diary.json — 200; JSON</t>
        </is>
      </c>
      <c r="G23" s="21" t="inlineStr"/>
    </row>
    <row r="24">
      <c r="A24" s="21" t="inlineStr">
        <is>
          <t>S045</t>
        </is>
      </c>
      <c r="B24" s="21" t="inlineStr">
        <is>
          <t>Arts Picturehouse</t>
        </is>
      </c>
      <c r="C24" s="22" t="inlineStr">
        <is>
          <t>да</t>
        </is>
      </c>
      <c r="D24" s="21" t="inlineStr">
        <is>
          <t>HTML</t>
        </is>
      </c>
      <c r="E24" s="21" t="inlineStr">
        <is>
          <t>https://www.picturehouses.com/cinema/arts-picturehouse-cambridge</t>
        </is>
      </c>
      <c r="F24" s="21" t="inlineStr">
        <is>
          <t>https://www.picturehouses.com/cinema/arts-picturehouse-cambridge — 200; билетная система: ecal</t>
        </is>
      </c>
      <c r="G24" s="21" t="inlineStr"/>
    </row>
    <row r="25">
      <c r="A25" s="21" t="inlineStr">
        <is>
          <t>S047</t>
        </is>
      </c>
      <c r="B25" s="21" t="inlineStr">
        <is>
          <t>Talks.cam</t>
        </is>
      </c>
      <c r="C25" s="22" t="inlineStr">
        <is>
          <t>да</t>
        </is>
      </c>
      <c r="D25" s="21" t="inlineStr">
        <is>
          <t>iCal</t>
        </is>
      </c>
      <c r="E25" s="21" t="inlineStr">
        <is>
          <t>https://talks.cam.ac.uk/show/ics/{5606,5462,5358,5769,23088}/</t>
        </is>
      </c>
      <c r="F25" s="21" t="inlineStr">
        <is>
          <t>https://talks.cam.ac.uk — 200
https://talks.cam.ac.uk/document/documentation/ — 200
https://talks.cam.ac.uk/show/ics/5606/ — 200; iCal, событий: 15
https://talks.cam.ac.uk/show/ics/5462/ — 200; iCal, событий: 8
https://talks.cam.ac.uk/show/ics/5358/ — 200; iCal, событий: 8
https://talks.cam.ac.uk/show/ics/5769/ — 200; iCal, событий: 7
https://talks.cam.ac.uk/show/ics/23088/ — 200; iCal, событий: 55</t>
        </is>
      </c>
      <c r="G25" s="21" t="inlineStr"/>
    </row>
    <row r="26">
      <c r="A26" s="21" t="inlineStr">
        <is>
          <t>S048</t>
        </is>
      </c>
      <c r="B26" s="21" t="inlineStr">
        <is>
          <t>University of Cambridge — What's On</t>
        </is>
      </c>
      <c r="C26" s="22" t="inlineStr">
        <is>
          <t>да</t>
        </is>
      </c>
      <c r="D26" s="21" t="inlineStr">
        <is>
          <t>HTML</t>
        </is>
      </c>
      <c r="E26" s="21" t="inlineStr">
        <is>
          <t>https://www.admin.cam.ac.uk/whatson/</t>
        </is>
      </c>
      <c r="F26" s="21" t="inlineStr">
        <is>
          <t>https://www.admin.cam.ac.uk/whatson/ — 200</t>
        </is>
      </c>
      <c r="G26" s="21" t="inlineStr">
        <is>
          <t>webservices.admin.cam.ac.uk (iCal 76 событий, RSS) — robots.txt: Disallow: / — не собираем без решения
https://www.cam.ac.uk/whats-on — Pantheon 403 для httpx</t>
        </is>
      </c>
    </row>
    <row r="27">
      <c r="A27" s="21" t="inlineStr">
        <is>
          <t>S050</t>
        </is>
      </c>
      <c r="B27" s="21" t="inlineStr">
        <is>
          <t>Fitzwilliam Museum</t>
        </is>
      </c>
      <c r="C27" s="22" t="inlineStr">
        <is>
          <t>да</t>
        </is>
      </c>
      <c r="D27" s="21" t="inlineStr">
        <is>
          <t>RSS (выставки) + HTML (события)</t>
        </is>
      </c>
      <c r="E27" s="21" t="inlineStr">
        <is>
          <t>https://fitzmuseum.cam.ac.uk/feeds/exhibitions</t>
        </is>
      </c>
      <c r="F27" s="21" t="inlineStr">
        <is>
          <t>https://fitzmuseum.cam.ac.uk — 200; alternate-фиды: https://fitzmuseum.cam.ac.uk/feeds/news, https://fitzmuseum.cam.ac.uk/feeds/vacancies, https://fitzmuseum.cam.ac.uk/feeds/exhibitions
https://fitzmuseum.cam.ac.uk/events — 200; alternate-фиды: https://fitzmuseum.cam.ac.uk/feeds/news, https://fitzmuseum.cam.ac.uk/feeds/vacancies, https://fitzmuseum.cam.ac.uk/feeds/exhibitions
https://fitzmuseum.cam.ac.uk/feeds/exhibitions — 200; фид, записей: 20</t>
        </is>
      </c>
      <c r="G27" s="21" t="inlineStr"/>
    </row>
    <row r="28">
      <c r="A28" s="21" t="inlineStr">
        <is>
          <t>S051</t>
        </is>
      </c>
      <c r="B28" s="21" t="inlineStr">
        <is>
          <t>Kettle's Yard</t>
        </is>
      </c>
      <c r="C28" s="22" t="inlineStr">
        <is>
          <t>да</t>
        </is>
      </c>
      <c r="D28" s="21" t="inlineStr">
        <is>
          <t>HTML</t>
        </is>
      </c>
      <c r="E28" s="21" t="inlineStr">
        <is>
          <t>https://www.kettlesyard.cam.ac.uk/whats-on/</t>
        </is>
      </c>
      <c r="F28" s="21" t="inlineStr">
        <is>
          <t>https://www.kettlesyard.cam.ac.uk — 200
https://www.kettlesyard.cam.ac.uk/whats-on/ — 200</t>
        </is>
      </c>
      <c r="G28" s="21" t="inlineStr">
        <is>
          <t>https://www.kettlesyard.cam.ac.uk/feed/ — 500
https://www.kettlesyard.co.uk — ConnectError: [SSL: CERTIFICATE_VERIFY_FAILED] certificate verify failed: Hostname mismatch, certificate is not valid for 'www.kettlesyard.co.uk'. (_ssl.c:1016)
https://www.kettlesyard.co.uk/events/ — ConnectError: [SSL: CERTIFICATE_VERIFY_FAILED] certificate verify failed: Hostname mismatch, certificate is not valid for 'www.kettlesyard.co.uk'. (_ssl.c:1016)
https://www.kettlesyard.co.uk/feed/ — ConnectError: [SSL: CERTIFICATE_VERIFY_FAILED] certificate verify failed: Hostname mismatch, certificate is not valid for 'www.kettlesyard.co.uk'. (_ssl.c:1016)</t>
        </is>
      </c>
    </row>
    <row r="29">
      <c r="A29" s="21" t="inlineStr">
        <is>
          <t>S052</t>
        </is>
      </c>
      <c r="B29" s="21" t="inlineStr">
        <is>
          <t>University of Cambridge Museums (сводный)</t>
        </is>
      </c>
      <c r="C29" s="22" t="inlineStr">
        <is>
          <t>да</t>
        </is>
      </c>
      <c r="D29" s="21" t="inlineStr">
        <is>
          <t>HTML</t>
        </is>
      </c>
      <c r="E29" s="21" t="inlineStr">
        <is>
          <t>https://www.museums.cam.ac.uk/whats-on</t>
        </is>
      </c>
      <c r="F29" s="21" t="inlineStr">
        <is>
          <t>https://www.museums.cam.ac.uk — 200
https://www.museums.cam.ac.uk/whats-on — 200</t>
        </is>
      </c>
      <c r="G29" s="21" t="inlineStr"/>
    </row>
    <row r="30">
      <c r="A30" s="21" t="inlineStr">
        <is>
          <t>S056</t>
        </is>
      </c>
      <c r="B30" s="21" t="inlineStr">
        <is>
          <t>Семейные программы музеев</t>
        </is>
      </c>
      <c r="C30" s="23" t="inlineStr">
        <is>
          <t>проверить</t>
        </is>
      </c>
      <c r="D30" s="21" t="inlineStr">
        <is>
          <t>Производный (тег «дети»)</t>
        </is>
      </c>
      <c r="E30" s="21" t="inlineStr"/>
      <c r="F30" s="21" t="inlineStr"/>
      <c r="G30" s="21" t="inlineStr">
        <is>
          <t>своего URL нет по замыслу</t>
        </is>
      </c>
    </row>
    <row r="31">
      <c r="A31" s="21" t="inlineStr">
        <is>
          <t>S062</t>
        </is>
      </c>
      <c r="B31" s="21" t="inlineStr">
        <is>
          <t>Комедия на Corn Exchange / Junction / ADC</t>
        </is>
      </c>
      <c r="C31" s="23" t="inlineStr">
        <is>
          <t>проверить</t>
        </is>
      </c>
      <c r="D31" s="21" t="inlineStr">
        <is>
          <t>Производный (тег «комедия»)</t>
        </is>
      </c>
      <c r="E31" s="21" t="inlineStr"/>
      <c r="F31" s="21" t="inlineStr"/>
      <c r="G31" s="21" t="inlineStr">
        <is>
          <t>своего URL нет по замыслу</t>
        </is>
      </c>
    </row>
    <row r="32">
      <c r="A32" s="21" t="inlineStr">
        <is>
          <t>S065</t>
        </is>
      </c>
      <c r="B32" s="21" t="inlineStr">
        <is>
          <t>Open Cambridge</t>
        </is>
      </c>
      <c r="C32" s="22" t="inlineStr">
        <is>
          <t>да</t>
        </is>
      </c>
      <c r="D32" s="21" t="inlineStr">
        <is>
          <t>HTML (curl, пауза 10 с)</t>
        </is>
      </c>
      <c r="E32" s="21" t="inlineStr">
        <is>
          <t>https://www.opencambridge.cam.ac.uk/</t>
        </is>
      </c>
      <c r="F32" s="21" t="inlineStr">
        <is>
          <t>https://www.opencambridge.cam.ac.uk/ — 200 через curl; фидов нет</t>
        </is>
      </c>
      <c r="G32" s="21" t="inlineStr">
        <is>
          <t>Pantheon отдаёт 403 Python-клиенту httpx, curl — 200</t>
        </is>
      </c>
    </row>
    <row r="33">
      <c r="A33" s="21" t="inlineStr">
        <is>
          <t>S069</t>
        </is>
      </c>
      <c r="B33" s="21" t="inlineStr">
        <is>
          <t>Cambridge University Botanic Garden</t>
        </is>
      </c>
      <c r="C33" s="22" t="inlineStr">
        <is>
          <t>да</t>
        </is>
      </c>
      <c r="D33" s="21" t="inlineStr">
        <is>
          <t>HTML</t>
        </is>
      </c>
      <c r="E33" s="21" t="inlineStr">
        <is>
          <t>https://www.botanic.cam.ac.uk/whats-on/</t>
        </is>
      </c>
      <c r="F33" s="21" t="inlineStr">
        <is>
          <t>https://www.botanic.cam.ac.uk — 200; alternate-фиды: https://www.botanic.cam.ac.uk/wp-json/oembed/1.0/embed?url=https%3A%2F%2Fwww.botanic.cam.ac.uk%2F, https://www.botanic.cam.ac.uk/wp-json/wp/v2/pages/6; WordPress
https://www.botanic.cam.ac.uk/whats-on/ — 200; WordPress</t>
        </is>
      </c>
      <c r="G33" s="21" t="inlineStr"/>
    </row>
    <row r="34">
      <c r="A34" s="21" t="inlineStr">
        <is>
          <t>S070</t>
        </is>
      </c>
      <c r="B34" s="21" t="inlineStr">
        <is>
          <t>National Trust: Wimpole, Anglesey Abbey, Wicken Fen</t>
        </is>
      </c>
      <c r="C34" s="23" t="inlineStr">
        <is>
          <t>проверить</t>
        </is>
      </c>
      <c r="D34" s="21" t="inlineStr">
        <is>
          <t>Ручной сезонный</t>
        </is>
      </c>
      <c r="E34" s="21" t="inlineStr">
        <is>
          <t>https://www.nationaltrust.org.uk/visit/cambridgeshire/wimpole-estate/events</t>
        </is>
      </c>
      <c r="F34" s="21" t="inlineStr">
        <is>
          <t>https://www.nationaltrust.org.uk/visit/cambridgeshire/wimpole-estate/events — 200
https://www.nationaltrust.org.uk/visit/cambridgeshire/anglesey-abbey-gardens-and-lode-mill/events — 200
https://www.nationaltrust.org.uk/visit/cambridgeshire/wicken-fen-nature-reserve/events — 200</t>
        </is>
      </c>
      <c r="G34" s="21" t="inlineStr">
        <is>
          <t>nationaltrust.org.uk — после 1–2 запросов отдаёт страницу бот-защиты Radware
Wicken Fen: /wicken-fen-nature-reserve/events — страница 404; верный адрес не подтверждён</t>
        </is>
      </c>
    </row>
    <row r="35">
      <c r="A35" s="21" t="inlineStr">
        <is>
          <t>S072</t>
        </is>
      </c>
      <c r="B35" s="21" t="inlineStr">
        <is>
          <t>Cambridge City Council — городские события</t>
        </is>
      </c>
      <c r="C35" s="22" t="inlineStr">
        <is>
          <t>да</t>
        </is>
      </c>
      <c r="D35" s="21" t="inlineStr">
        <is>
          <t>HTML</t>
        </is>
      </c>
      <c r="E35" s="21" t="inlineStr">
        <is>
          <t>https://www.camcityevents.co.uk/events</t>
        </is>
      </c>
      <c r="F35" s="21" t="inlineStr">
        <is>
          <t>https://www.cambridge.gov.uk — 200
https://www.cambridge.gov.uk/summer-events — 200
https://www.camcityevents.co.uk/events — 200</t>
        </is>
      </c>
      <c r="G35" s="21" t="inlineStr">
        <is>
          <t>https://www.cambridge.gov.uk/fireworks — 404</t>
        </is>
      </c>
    </row>
    <row r="36">
      <c r="A36" s="21" t="inlineStr">
        <is>
          <t>S081</t>
        </is>
      </c>
      <c r="B36" s="21" t="inlineStr">
        <is>
          <t>Thriplow Daffodil Weekend</t>
        </is>
      </c>
      <c r="C36" s="22" t="inlineStr">
        <is>
          <t>да</t>
        </is>
      </c>
      <c r="D36" s="21" t="inlineStr">
        <is>
          <t>HTML</t>
        </is>
      </c>
      <c r="E36" s="21" t="inlineStr">
        <is>
          <t>https://www.thriplowdaffodils.org.uk</t>
        </is>
      </c>
      <c r="F36" s="21" t="inlineStr">
        <is>
          <t>https://www.thriplowdaffodils.org.uk — 200</t>
        </is>
      </c>
      <c r="G36" s="21" t="inlineStr"/>
    </row>
    <row r="37">
      <c r="A37" s="21" t="inlineStr">
        <is>
          <t>S082</t>
        </is>
      </c>
      <c r="B37" s="21" t="inlineStr">
        <is>
          <t>Cambridge Dragon Boat Festival (ACT)</t>
        </is>
      </c>
      <c r="C37" s="22" t="inlineStr">
        <is>
          <t>да</t>
        </is>
      </c>
      <c r="D37" s="21" t="inlineStr">
        <is>
          <t>HTML</t>
        </is>
      </c>
      <c r="E37" s="21" t="inlineStr">
        <is>
          <t>https://act4addenbrookes.org.uk/dragonboat/</t>
        </is>
      </c>
      <c r="F37" s="21" t="inlineStr">
        <is>
          <t>https://act4addenbrookes.org.uk — 200; alternate-фиды: https://act4addenbrookes.org.uk/feed/, https://act4addenbrookes.org.uk/comments/feed/, https://act4addenbrookes.org.uk/wp-json/oembed/1.0/embed?url=https%3A%2F%2Fact4addenbrookes.org.uk%2F; WordPress
https://act4addenbrookes.org.uk/events/cambridge-dragon-boat-festival-2026/ — 200; alternate-фиды: https://act4addenbrookes.org.uk/feed/, https://act4addenbrookes.org.uk/comments/feed/, https://act4addenbrookes.org.uk/wp-json/oembed/1.0/embed?url=https%3A%2F%2Fact4addenbrookes.org.uk%2Fevents%2Fcambridge-dragon-boat-festival-2026%2F; WordPress</t>
        </is>
      </c>
      <c r="G37" s="21" t="inlineStr"/>
    </row>
    <row r="38">
      <c r="A38" s="21" t="inlineStr">
        <is>
          <t>S087</t>
        </is>
      </c>
      <c r="B38" s="21" t="inlineStr">
        <is>
          <t>The Cambridge Foodies</t>
        </is>
      </c>
      <c r="C38" s="22" t="inlineStr">
        <is>
          <t>да</t>
        </is>
      </c>
      <c r="D38" s="21" t="inlineStr">
        <is>
          <t>RSS</t>
        </is>
      </c>
      <c r="E38" s="21" t="inlineStr">
        <is>
          <t>https://cambridgefoodies.me.uk/feed/</t>
        </is>
      </c>
      <c r="F38" s="21" t="inlineStr">
        <is>
          <t>https://cambridgefoodies.me.uk — 200 в первом проходе, WordPress, alternate RSS /feed/
https://cambridgefoodies.me.uk/feed/ — 200 через HTTP/2</t>
        </is>
      </c>
      <c r="G38" s="21" t="inlineStr">
        <is>
          <t>WordPress.com отвечает 429 при повторных запросах (и HTTP/1.1-клиенту httpx) — нужны HTTP/2, редкие запросы и бэк-офф</t>
        </is>
      </c>
    </row>
    <row r="39">
      <c r="A39" s="21" t="inlineStr">
        <is>
          <t>S089</t>
        </is>
      </c>
      <c r="B39" s="21" t="inlineStr">
        <is>
          <t>Town and Gown 10k</t>
        </is>
      </c>
      <c r="C39" s="23" t="inlineStr">
        <is>
          <t>проверить</t>
        </is>
      </c>
      <c r="D39" s="21" t="inlineStr">
        <is>
          <t>Через Cambridge News (S004) и Cambridge 105 (S005)</t>
        </is>
      </c>
      <c r="E39" s="21" t="inlineStr"/>
      <c r="F39" s="21" t="inlineStr"/>
      <c r="G39" s="21" t="inlineStr">
        <is>
          <t>townandgown10k.com и musculardystrophyuk.org — Cloudflare 403 для любого бот-клиента, включая robots.txt</t>
        </is>
      </c>
    </row>
    <row r="40">
      <c r="A40" s="21" t="inlineStr">
        <is>
          <t>S090</t>
        </is>
      </c>
      <c r="B40" s="21" t="inlineStr">
        <is>
          <t>DesignMyNight — Cambridge</t>
        </is>
      </c>
      <c r="C40" s="24" t="inlineStr">
        <is>
          <t>нет</t>
        </is>
      </c>
      <c r="D40" s="21" t="inlineStr">
        <is>
          <t>— (robots.txt запрещает)</t>
        </is>
      </c>
      <c r="E40" s="21" t="inlineStr">
        <is>
          <t>https://www.designmynight.com/cambridge</t>
        </is>
      </c>
      <c r="F40" s="21" t="inlineStr">
        <is>
          <t>https://www.designmynight.com/cambridge — 200</t>
        </is>
      </c>
      <c r="G40" s="21" t="inlineStr">
        <is>
          <t>robots.txt: Disallow: /cambridge/whats-on и Disallow: /api/ — раздел событий закрыт для роботов
разрешённые страницы /cambridge — каталог заведений, событий и JSON-LD Event нет</t>
        </is>
      </c>
    </row>
    <row r="41">
      <c r="A41" s="21" t="inlineStr">
        <is>
          <t>S091</t>
        </is>
      </c>
      <c r="B41" s="21" t="inlineStr">
        <is>
          <t>Cambridge Live Tickets</t>
        </is>
      </c>
      <c r="C41" s="22" t="inlineStr">
        <is>
          <t>да</t>
        </is>
      </c>
      <c r="D41" s="21" t="inlineStr">
        <is>
          <t>HTML + JSON-LD</t>
        </is>
      </c>
      <c r="E41" s="21" t="inlineStr">
        <is>
          <t>https://www.cambridgelivetickets.co.uk/events</t>
        </is>
      </c>
      <c r="F41" s="21" t="inlineStr">
        <is>
          <t>https://www.cambridgelivetickets.co.uk — 200
https://www.cambridgelivetickets.co.uk/events — 200
https://www.cambridgelivetickets.co.uk/events/georgie-carroll-nurse-georgie-carroll-infectious — 200; JSON-LD Event: 1</t>
        </is>
      </c>
      <c r="G41" s="21" t="inlineStr"/>
    </row>
    <row r="42">
      <c r="A42" s="21" t="inlineStr">
        <is>
          <t>S092</t>
        </is>
      </c>
      <c r="B42" s="21" t="inlineStr">
        <is>
          <t>Cambridge Independent — News/Business</t>
        </is>
      </c>
      <c r="C42" s="22" t="inlineStr">
        <is>
          <t>да</t>
        </is>
      </c>
      <c r="D42" s="21" t="inlineStr">
        <is>
          <t>RSS + извлечение Claude</t>
        </is>
      </c>
      <c r="E42" s="21" t="inlineStr">
        <is>
          <t>https://www.cambridgeindependent.co.uk/_api/rss/cambridge_independent_business_feed.xml (+ news_feed.xml)</t>
        </is>
      </c>
      <c r="F42" s="21" t="inlineStr">
        <is>
          <t>https://www.cambridgeindependent.co.uk/rss-feeds/ — 200
https://www.cambridgeindependent.co.uk/_api/rss/cambridge_independent_business_feed.xml — 200; фид, записей: 20
https://www.cambridgeindependent.co.uk/_api/rss/cambridge_independent_news_feed.xml — 200; фид, записей: 20</t>
        </is>
      </c>
      <c r="G42" s="21" t="inlineStr"/>
    </row>
    <row r="43">
      <c r="A43" s="21" t="inlineStr">
        <is>
          <t>S093</t>
        </is>
      </c>
      <c r="B43" s="21" t="inlineStr">
        <is>
          <t>Cambridge News — Food &amp; Drink, Shopping</t>
        </is>
      </c>
      <c r="C43" s="22" t="inlineStr">
        <is>
          <t>да</t>
        </is>
      </c>
      <c r="D43" s="21" t="inlineStr">
        <is>
          <t>RSS + извлечение Claude</t>
        </is>
      </c>
      <c r="E43" s="21" t="inlineStr">
        <is>
          <t>https://www.cambridge-news.co.uk/all-about/food-and-drink?service=rss (+ shopping)</t>
        </is>
      </c>
      <c r="F43" s="21" t="inlineStr">
        <is>
          <t>https://www.cambridge-news.co.uk/all-about/food-and-drink — 200; билетная система: ecal
https://www.cambridge-news.co.uk/all-about/food-and-drink?service=rss — 200; фид, записей: 4
https://www.cambridge-news.co.uk/all-about/shopping?service=rss — 200; фид, записей: 4</t>
        </is>
      </c>
      <c r="G43" s="21" t="inlineStr"/>
    </row>
    <row r="44">
      <c r="A44" s="21" t="inlineStr">
        <is>
          <t>S094</t>
        </is>
      </c>
      <c r="B44" s="21" t="inlineStr">
        <is>
          <t>Grand Arcade — магазины</t>
        </is>
      </c>
      <c r="C44" s="22" t="inlineStr">
        <is>
          <t>да</t>
        </is>
      </c>
      <c r="D44" s="21" t="inlineStr">
        <is>
          <t>HTML (список магазинов, сравнение)</t>
        </is>
      </c>
      <c r="E44" s="21" t="inlineStr">
        <is>
          <t>https://www.grandarcade.co.uk/stores/</t>
        </is>
      </c>
      <c r="F44" s="21" t="inlineStr">
        <is>
          <t>https://www.grandarcade.co.uk/ — 200; alternate-фиды: https://www.grandarcade.co.uk/wp-json/wp/v2/pages/91; WordPress
https://www.grandarcade.co.uk/stores/ — 200; alternate-фиды: https://www.grandarcade.co.uk/wp-json/wp/v2/pages/259; WordPress</t>
        </is>
      </c>
      <c r="G44" s="21" t="inlineStr"/>
    </row>
    <row r="45">
      <c r="A45" s="21" t="inlineStr">
        <is>
          <t>S095</t>
        </is>
      </c>
      <c r="B45" s="21" t="inlineStr">
        <is>
          <t>Lion Yard — магазины</t>
        </is>
      </c>
      <c r="C45" s="22" t="inlineStr">
        <is>
          <t>да</t>
        </is>
      </c>
      <c r="D45" s="21" t="inlineStr">
        <is>
          <t>HTML (список магазинов, сравнение)</t>
        </is>
      </c>
      <c r="E45" s="21" t="inlineStr">
        <is>
          <t>https://www.thelionyard.co.uk/stores/</t>
        </is>
      </c>
      <c r="F45" s="21" t="inlineStr">
        <is>
          <t>https://www.thelionyard.co.uk/ — 200; alternate-фиды: https://www.thelionyard.co.uk/wp-json/oembed/1.0/embed?url=https%3A%2F%2Fwww.thelionyard.co.uk%2F, https://www.thelionyard.co.uk/wp-json/wp/v2/pages/4; WordPress
https://www.thelionyard.co.uk/stores/ — 200; alternate-фиды: https://www.thelionyard.co.uk/./stores/feed/, https://www.thelionyard.co.uk/wp-json/wp/v2/categories/6; WordPress</t>
        </is>
      </c>
      <c r="G45" s="21" t="inlineStr"/>
    </row>
    <row r="46">
      <c r="A46" s="21" t="inlineStr">
        <is>
          <t>S096</t>
        </is>
      </c>
      <c r="B46" s="21" t="inlineStr">
        <is>
          <t>The Grafton — магазины</t>
        </is>
      </c>
      <c r="C46" s="22" t="inlineStr">
        <is>
          <t>да</t>
        </is>
      </c>
      <c r="D46" s="21" t="inlineStr">
        <is>
          <t>HTML (список магазинов, сравнение)</t>
        </is>
      </c>
      <c r="E46" s="21" t="inlineStr">
        <is>
          <t>https://graftoncentre.co.uk/stores/</t>
        </is>
      </c>
      <c r="F46" s="21" t="inlineStr">
        <is>
          <t>https://graftoncentre.co.uk/ — 200; alternate-фиды: https://graftoncentre.co.uk/feed/, https://graftoncentre.co.uk/comments/feed/, https://graftoncentre.co.uk/wp-json/oembed/1.0/embed?url=https%3A%2F%2Fgraftoncentre.co.uk%2F; WordPress
https://graftoncentre.co.uk/stores/ — 200; alternate-фиды: https://graftoncentre.co.uk/feed/, https://graftoncentre.co.uk/comments/feed/, https://graftoncentre.co.uk/wp-json/oembed/1.0/embed?url=https%3A%2F%2Fgraftoncentre.co.uk%2Fstores%2F; WordPress</t>
        </is>
      </c>
      <c r="G46" s="21" t="inlineStr"/>
    </row>
    <row r="47">
      <c r="A47" s="21" t="inlineStr">
        <is>
          <t>S097</t>
        </is>
      </c>
      <c r="B47" s="21" t="inlineStr">
        <is>
          <t>Cambridge BID — новости</t>
        </is>
      </c>
      <c r="C47" s="22" t="inlineStr">
        <is>
          <t>да</t>
        </is>
      </c>
      <c r="D47" s="21" t="inlineStr">
        <is>
          <t>RSS (без Claude до решения)</t>
        </is>
      </c>
      <c r="E47" s="21" t="inlineStr">
        <is>
          <t>https://www.cambridgebid.co.uk/news?format=rss</t>
        </is>
      </c>
      <c r="F47" s="21" t="inlineStr">
        <is>
          <t>https://www.cambridgebid.co.uk/news — 200; alternate-фиды: https://www.cambridgebid.co.uk/news?format=rss
https://www.cambridgebid.co.uk/news?format=rss — 200; фид, записей: 20</t>
        </is>
      </c>
      <c r="G47" s="21" t="inlineStr"/>
    </row>
  </sheetData>
  <autoFilter ref="A1:G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style="11" min="1" max="1"/>
    <col width="44" customWidth="1" style="11" min="2" max="2"/>
    <col width="22" customWidth="1" style="11" min="3" max="3"/>
    <col width="60" customWidth="1" style="11" min="4" max="4"/>
    <col width="36" customWidth="1" style="11" min="5" max="5"/>
  </cols>
  <sheetData>
    <row r="1">
      <c r="A1" s="20" t="inlineStr">
        <is>
          <t>ID</t>
        </is>
      </c>
      <c r="B1" s="20" t="inlineStr">
        <is>
          <t>Событие</t>
        </is>
      </c>
      <c r="C1" s="20" t="inlineStr">
        <is>
          <t>Когда</t>
        </is>
      </c>
      <c r="D1" s="20" t="inlineStr">
        <is>
          <t>Где искать</t>
        </is>
      </c>
      <c r="E1" s="20" t="inlineStr">
        <is>
          <t>Ключевые слова</t>
        </is>
      </c>
    </row>
    <row r="2">
      <c r="A2" s="21" t="inlineStr">
        <is>
          <t>C1</t>
        </is>
      </c>
      <c r="B2" s="21" t="inlineStr">
        <is>
          <t>Домашние матчи Cambridge United</t>
        </is>
      </c>
      <c r="C2" s="21" t="inlineStr">
        <is>
          <t>весь сезон</t>
        </is>
      </c>
      <c r="D2" s="21" t="inlineStr">
        <is>
          <t>S018 (fixtur.es), будущие домашние матчи</t>
        </is>
      </c>
      <c r="E2" s="21" t="inlineStr">
        <is>
          <t>Cambridge United</t>
        </is>
      </c>
    </row>
    <row r="3">
      <c r="A3" s="21" t="inlineStr">
        <is>
          <t>C2</t>
        </is>
      </c>
      <c r="B3" s="21" t="inlineStr">
        <is>
          <t>Mill Road Winter Fair</t>
        </is>
      </c>
      <c r="C3" s="21" t="inlineStr">
        <is>
          <t>2026-12-05</t>
        </is>
      </c>
      <c r="D3" s="21" t="inlineStr">
        <is>
          <t>S038 (сайт ярмарки), Cambridge 105, Cambridge News</t>
        </is>
      </c>
      <c r="E3" s="21" t="inlineStr">
        <is>
          <t>Mill Road Winter Fair, Winter Fair</t>
        </is>
      </c>
    </row>
    <row r="4">
      <c r="A4" s="21" t="inlineStr">
        <is>
          <t>C3</t>
        </is>
      </c>
      <c r="B4" s="21" t="inlineStr">
        <is>
          <t>Town and Gown 10k</t>
        </is>
      </c>
      <c r="C4" s="21" t="inlineStr">
        <is>
          <t>октябрь 2026</t>
        </is>
      </c>
      <c r="D4" s="21" t="inlineStr">
        <is>
          <t>через Cambridge News (S004) и Cambridge 105 (S005) — сайт закрыт для ботов</t>
        </is>
      </c>
      <c r="E4" s="21" t="inlineStr">
        <is>
          <t>Town and Gown 10, Town &amp; Gown 10, Bidwells Cambridge 10k, Cambridge 10k</t>
        </is>
      </c>
    </row>
    <row r="5">
      <c r="A5" s="21" t="inlineStr">
        <is>
          <t>C4</t>
        </is>
      </c>
      <c r="B5" s="21" t="inlineStr">
        <is>
          <t>Whittlesea Straw Bear Festival</t>
        </is>
      </c>
      <c r="C5" s="21" t="inlineStr">
        <is>
          <t>январь 2027</t>
        </is>
      </c>
      <c r="D5" s="21" t="inlineStr">
        <is>
          <t>Cambridge 105, Visit Cambridge, новости</t>
        </is>
      </c>
      <c r="E5" s="21" t="inlineStr">
        <is>
          <t>Straw Bear</t>
        </is>
      </c>
    </row>
    <row r="6">
      <c r="A6" s="21" t="inlineStr">
        <is>
          <t>C5</t>
        </is>
      </c>
      <c r="B6" s="21" t="inlineStr">
        <is>
          <t>Thriplow Daffodil Weekend</t>
        </is>
      </c>
      <c r="C6" s="21" t="inlineStr">
        <is>
          <t>март 2027</t>
        </is>
      </c>
      <c r="D6" s="21" t="inlineStr">
        <is>
          <t>Cambridge 105</t>
        </is>
      </c>
      <c r="E6" s="21" t="inlineStr">
        <is>
          <t>Thriplow, Daffodil Weekend</t>
        </is>
      </c>
    </row>
    <row r="7">
      <c r="A7" s="21" t="inlineStr">
        <is>
          <t>C6</t>
        </is>
      </c>
      <c r="B7" s="21" t="inlineStr">
        <is>
          <t>Публичные лекции talks.cam</t>
        </is>
      </c>
      <c r="C7" s="21" t="inlineStr">
        <is>
          <t>постоянно</t>
        </is>
      </c>
      <c r="D7" s="21" t="inlineStr">
        <is>
          <t>S047, списки Major Public Lectures, Darwin College и др.</t>
        </is>
      </c>
      <c r="E7" s="21" t="inlineStr">
        <is>
          <t>S047</t>
        </is>
      </c>
    </row>
    <row r="8">
      <c r="A8" s="21" t="inlineStr">
        <is>
          <t>C7</t>
        </is>
      </c>
      <c r="B8" s="21" t="inlineStr">
        <is>
          <t>Открытия на Mill Road: Catte Latte, Hungarian Soul</t>
        </is>
      </c>
      <c r="C8" s="21" t="inlineStr">
        <is>
          <t>уже прошли (архив)</t>
        </is>
      </c>
      <c r="D8" s="21" t="inlineStr">
        <is>
          <t>Cambridge Foodies — поток «новое в городе»</t>
        </is>
      </c>
      <c r="E8" s="21" t="inlineStr">
        <is>
          <t>Catte Latte, Hungarian Soul</t>
        </is>
      </c>
    </row>
    <row r="9">
      <c r="A9" s="21" t="inlineStr">
        <is>
          <t>C8</t>
        </is>
      </c>
      <c r="B9" s="21" t="inlineStr">
        <is>
          <t>Cambridge Oktoberfest, Jesus Green</t>
        </is>
      </c>
      <c r="C9" s="21" t="inlineStr">
        <is>
          <t>2026-09-25 – 2026-09-26</t>
        </is>
      </c>
      <c r="D9" s="21" t="inlineStr">
        <is>
          <t>Eventbrite / Skiddle / Ents24 / Cambridge 105 / новости, если ещё видно</t>
        </is>
      </c>
      <c r="E9" s="21" t="inlineStr">
        <is>
          <t>Oktoberfest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" min="1" max="1"/>
    <col width="18" customWidth="1" style="10" min="2" max="5"/>
  </cols>
  <sheetData>
    <row r="1" ht="15" customHeight="1" s="11">
      <c r="A1" s="25" t="inlineStr">
        <is>
          <t>Категория</t>
        </is>
      </c>
      <c r="B1" s="25" t="inlineStr">
        <is>
          <t>Всего источников</t>
        </is>
      </c>
      <c r="C1" s="25" t="inlineStr">
        <is>
          <t>Приоритет 1</t>
        </is>
      </c>
      <c r="D1" s="25" t="inlineStr">
        <is>
          <t>URL проверен</t>
        </is>
      </c>
      <c r="E1" s="25" t="inlineStr">
        <is>
          <t>Осталось проверить</t>
        </is>
      </c>
    </row>
    <row r="2" ht="15" customHeight="1" s="11">
      <c r="A2" s="26" t="inlineStr">
        <is>
          <t>Сквозные агрегаторы</t>
        </is>
      </c>
      <c r="B2" s="26">
        <f>COUNTIF(Источники!$B$2:$B$500,A2)</f>
        <v/>
      </c>
      <c r="C2" s="26">
        <f>COUNTIFS(Источники!$B$2:$B$500,A2,Источники!$J$2:$J$500,1)</f>
        <v/>
      </c>
      <c r="D2" s="26">
        <f>COUNTIFS(Источники!$B$2:$B$500,A2,Источники!$K$2:$K$500,"да")</f>
        <v/>
      </c>
      <c r="E2" s="26">
        <f>B2-D2</f>
        <v/>
      </c>
    </row>
    <row r="3" ht="15" customHeight="1" s="11">
      <c r="A3" s="26" t="inlineStr">
        <is>
          <t>Концерты</t>
        </is>
      </c>
      <c r="B3" s="26">
        <f>COUNTIF(Источники!$B$2:$B$500,A3)</f>
        <v/>
      </c>
      <c r="C3" s="26">
        <f>COUNTIFS(Источники!$B$2:$B$500,A3,Источники!$J$2:$J$500,1)</f>
        <v/>
      </c>
      <c r="D3" s="26">
        <f>COUNTIFS(Источники!$B$2:$B$500,A3,Источники!$K$2:$K$500,"да")</f>
        <v/>
      </c>
      <c r="E3" s="26">
        <f>B3-D3</f>
        <v/>
      </c>
    </row>
    <row r="4" ht="15" customHeight="1" s="11">
      <c r="A4" s="26" t="inlineStr">
        <is>
          <t>Спорт — смотреть</t>
        </is>
      </c>
      <c r="B4" s="26">
        <f>COUNTIF(Источники!$B$2:$B$500,A4)</f>
        <v/>
      </c>
      <c r="C4" s="26">
        <f>COUNTIFS(Источники!$B$2:$B$500,A4,Источники!$J$2:$J$500,1)</f>
        <v/>
      </c>
      <c r="D4" s="26">
        <f>COUNTIFS(Источники!$B$2:$B$500,A4,Источники!$K$2:$K$500,"да")</f>
        <v/>
      </c>
      <c r="E4" s="26">
        <f>B4-D4</f>
        <v/>
      </c>
    </row>
    <row r="5" ht="15" customHeight="1" s="11">
      <c r="A5" s="26" t="inlineStr">
        <is>
          <t>Спорт — участвовать</t>
        </is>
      </c>
      <c r="B5" s="26">
        <f>COUNTIF(Источники!$B$2:$B$500,A5)</f>
        <v/>
      </c>
      <c r="C5" s="26">
        <f>COUNTIFS(Источники!$B$2:$B$500,A5,Источники!$J$2:$J$500,1)</f>
        <v/>
      </c>
      <c r="D5" s="26">
        <f>COUNTIFS(Источники!$B$2:$B$500,A5,Источники!$K$2:$K$500,"да")</f>
        <v/>
      </c>
      <c r="E5" s="26">
        <f>B5-D5</f>
        <v/>
      </c>
    </row>
    <row r="6" ht="15" customHeight="1" s="11">
      <c r="A6" s="26" t="inlineStr">
        <is>
          <t>Фестивали</t>
        </is>
      </c>
      <c r="B6" s="26">
        <f>COUNTIF(Источники!$B$2:$B$500,A6)</f>
        <v/>
      </c>
      <c r="C6" s="26">
        <f>COUNTIFS(Источники!$B$2:$B$500,A6,Источники!$J$2:$J$500,1)</f>
        <v/>
      </c>
      <c r="D6" s="26">
        <f>COUNTIFS(Источники!$B$2:$B$500,A6,Источники!$K$2:$K$500,"да")</f>
        <v/>
      </c>
      <c r="E6" s="26">
        <f>B6-D6</f>
        <v/>
      </c>
    </row>
    <row r="7" ht="15" customHeight="1" s="11">
      <c r="A7" s="26" t="inlineStr">
        <is>
          <t>Ярмарки</t>
        </is>
      </c>
      <c r="B7" s="26">
        <f>COUNTIF(Источники!$B$2:$B$500,A7)</f>
        <v/>
      </c>
      <c r="C7" s="26">
        <f>COUNTIFS(Источники!$B$2:$B$500,A7,Источники!$J$2:$J$500,1)</f>
        <v/>
      </c>
      <c r="D7" s="26">
        <f>COUNTIFS(Источники!$B$2:$B$500,A7,Источники!$K$2:$K$500,"да")</f>
        <v/>
      </c>
      <c r="E7" s="26">
        <f>B7-D7</f>
        <v/>
      </c>
    </row>
    <row r="8" ht="15" customHeight="1" s="11">
      <c r="A8" s="26" t="inlineStr">
        <is>
          <t>Театр</t>
        </is>
      </c>
      <c r="B8" s="26">
        <f>COUNTIF(Источники!$B$2:$B$500,A8)</f>
        <v/>
      </c>
      <c r="C8" s="26">
        <f>COUNTIFS(Источники!$B$2:$B$500,A8,Источники!$J$2:$J$500,1)</f>
        <v/>
      </c>
      <c r="D8" s="26">
        <f>COUNTIFS(Источники!$B$2:$B$500,A8,Источники!$K$2:$K$500,"да")</f>
        <v/>
      </c>
      <c r="E8" s="26">
        <f>B8-D8</f>
        <v/>
      </c>
    </row>
    <row r="9" ht="15" customHeight="1" s="11">
      <c r="A9" s="26" t="inlineStr">
        <is>
          <t>Кино</t>
        </is>
      </c>
      <c r="B9" s="26">
        <f>COUNTIF(Источники!$B$2:$B$500,A9)</f>
        <v/>
      </c>
      <c r="C9" s="26">
        <f>COUNTIFS(Источники!$B$2:$B$500,A9,Источники!$J$2:$J$500,1)</f>
        <v/>
      </c>
      <c r="D9" s="26">
        <f>COUNTIFS(Источники!$B$2:$B$500,A9,Источники!$K$2:$K$500,"да")</f>
        <v/>
      </c>
      <c r="E9" s="26">
        <f>B9-D9</f>
        <v/>
      </c>
    </row>
    <row r="10" ht="15" customHeight="1" s="11">
      <c r="A10" s="26" t="inlineStr">
        <is>
          <t>Лекции</t>
        </is>
      </c>
      <c r="B10" s="26">
        <f>COUNTIF(Источники!$B$2:$B$500,A10)</f>
        <v/>
      </c>
      <c r="C10" s="26">
        <f>COUNTIFS(Источники!$B$2:$B$500,A10,Источники!$J$2:$J$500,1)</f>
        <v/>
      </c>
      <c r="D10" s="26">
        <f>COUNTIFS(Источники!$B$2:$B$500,A10,Источники!$K$2:$K$500,"да")</f>
        <v/>
      </c>
      <c r="E10" s="26">
        <f>B10-D10</f>
        <v/>
      </c>
    </row>
    <row r="11" ht="15" customHeight="1" s="11">
      <c r="A11" s="26" t="inlineStr">
        <is>
          <t>Выставки и музеи</t>
        </is>
      </c>
      <c r="B11" s="26">
        <f>COUNTIF(Источники!$B$2:$B$500,A11)</f>
        <v/>
      </c>
      <c r="C11" s="26">
        <f>COUNTIFS(Источники!$B$2:$B$500,A11,Источники!$J$2:$J$500,1)</f>
        <v/>
      </c>
      <c r="D11" s="26">
        <f>COUNTIFS(Источники!$B$2:$B$500,A11,Источники!$K$2:$K$500,"да")</f>
        <v/>
      </c>
      <c r="E11" s="26">
        <f>B11-D11</f>
        <v/>
      </c>
    </row>
    <row r="12" ht="15" customHeight="1" s="11">
      <c r="A12" s="26" t="inlineStr">
        <is>
          <t>Детям и семьям</t>
        </is>
      </c>
      <c r="B12" s="26">
        <f>COUNTIF(Источники!$B$2:$B$500,A12)</f>
        <v/>
      </c>
      <c r="C12" s="26">
        <f>COUNTIFS(Источники!$B$2:$B$500,A12,Источники!$J$2:$J$500,1)</f>
        <v/>
      </c>
      <c r="D12" s="26">
        <f>COUNTIFS(Источники!$B$2:$B$500,A12,Источники!$K$2:$K$500,"да")</f>
        <v/>
      </c>
      <c r="E12" s="26">
        <f>B12-D12</f>
        <v/>
      </c>
    </row>
    <row r="13" ht="15" customHeight="1" s="11">
      <c r="A13" s="26" t="inlineStr">
        <is>
          <t>Еда и напитки</t>
        </is>
      </c>
      <c r="B13" s="26">
        <f>COUNTIF(Источники!$B$2:$B$500,A13)</f>
        <v/>
      </c>
      <c r="C13" s="26">
        <f>COUNTIFS(Источники!$B$2:$B$500,A13,Источники!$J$2:$J$500,1)</f>
        <v/>
      </c>
      <c r="D13" s="26">
        <f>COUNTIFS(Источники!$B$2:$B$500,A13,Источники!$K$2:$K$500,"да")</f>
        <v/>
      </c>
      <c r="E13" s="26">
        <f>B13-D13</f>
        <v/>
      </c>
    </row>
    <row r="14" ht="15" customHeight="1" s="11">
      <c r="A14" s="26" t="inlineStr">
        <is>
          <t>Рынки и барахолки</t>
        </is>
      </c>
      <c r="B14" s="26">
        <f>COUNTIF(Источники!$B$2:$B$500,A14)</f>
        <v/>
      </c>
      <c r="C14" s="26">
        <f>COUNTIFS(Источники!$B$2:$B$500,A14,Источники!$J$2:$J$500,1)</f>
        <v/>
      </c>
      <c r="D14" s="26">
        <f>COUNTIFS(Источники!$B$2:$B$500,A14,Источники!$K$2:$K$500,"да")</f>
        <v/>
      </c>
      <c r="E14" s="26">
        <f>B14-D14</f>
        <v/>
      </c>
    </row>
    <row r="15" ht="15" customHeight="1" s="11">
      <c r="A15" s="26" t="inlineStr">
        <is>
          <t>Комедия и стендап</t>
        </is>
      </c>
      <c r="B15" s="26">
        <f>COUNTIF(Источники!$B$2:$B$500,A15)</f>
        <v/>
      </c>
      <c r="C15" s="26">
        <f>COUNTIFS(Источники!$B$2:$B$500,A15,Источники!$J$2:$J$500,1)</f>
        <v/>
      </c>
      <c r="D15" s="26">
        <f>COUNTIFS(Источники!$B$2:$B$500,A15,Источники!$K$2:$K$500,"да")</f>
        <v/>
      </c>
      <c r="E15" s="26">
        <f>B15-D15</f>
        <v/>
      </c>
    </row>
    <row r="16" ht="15" customHeight="1" s="11">
      <c r="A16" s="26" t="inlineStr">
        <is>
          <t>Ночная жизнь</t>
        </is>
      </c>
      <c r="B16" s="26">
        <f>COUNTIF(Источники!$B$2:$B$500,A16)</f>
        <v/>
      </c>
      <c r="C16" s="26">
        <f>COUNTIFS(Источники!$B$2:$B$500,A16,Источники!$J$2:$J$500,1)</f>
        <v/>
      </c>
      <c r="D16" s="26">
        <f>COUNTIFS(Источники!$B$2:$B$500,A16,Источники!$K$2:$K$500,"да")</f>
        <v/>
      </c>
      <c r="E16" s="26">
        <f>B16-D16</f>
        <v/>
      </c>
    </row>
    <row r="17" ht="15" customHeight="1" s="11">
      <c r="A17" s="26" t="inlineStr">
        <is>
          <t>Открытые двери и экскурсии</t>
        </is>
      </c>
      <c r="B17" s="26">
        <f>COUNTIF(Источники!$B$2:$B$500,A17)</f>
        <v/>
      </c>
      <c r="C17" s="26">
        <f>COUNTIFS(Источники!$B$2:$B$500,A17,Источники!$J$2:$J$500,1)</f>
        <v/>
      </c>
      <c r="D17" s="26">
        <f>COUNTIFS(Источники!$B$2:$B$500,A17,Источники!$K$2:$K$500,"да")</f>
        <v/>
      </c>
      <c r="E17" s="26">
        <f>B17-D17</f>
        <v/>
      </c>
    </row>
    <row r="18" ht="15" customHeight="1" s="11">
      <c r="A18" s="26" t="inlineStr">
        <is>
          <t>Природа и загородные поездки</t>
        </is>
      </c>
      <c r="B18" s="26">
        <f>COUNTIF(Источники!$B$2:$B$500,A18)</f>
        <v/>
      </c>
      <c r="C18" s="26">
        <f>COUNTIFS(Источники!$B$2:$B$500,A18,Источники!$J$2:$J$500,1)</f>
        <v/>
      </c>
      <c r="D18" s="26">
        <f>COUNTIFS(Источники!$B$2:$B$500,A18,Источники!$K$2:$K$500,"да")</f>
        <v/>
      </c>
      <c r="E18" s="26">
        <f>B18-D18</f>
        <v/>
      </c>
    </row>
    <row r="19" ht="15" customHeight="1" s="11">
      <c r="A19" s="26" t="inlineStr">
        <is>
          <t>Праздники и сезонное</t>
        </is>
      </c>
      <c r="B19" s="26">
        <f>COUNTIF(Источники!$B$2:$B$500,A19)</f>
        <v/>
      </c>
      <c r="C19" s="26">
        <f>COUNTIFS(Источники!$B$2:$B$500,A19,Источники!$J$2:$J$500,1)</f>
        <v/>
      </c>
      <c r="D19" s="26">
        <f>COUNTIFS(Источники!$B$2:$B$500,A19,Источники!$K$2:$K$500,"да")</f>
        <v/>
      </c>
      <c r="E19" s="26">
        <f>B19-D19</f>
        <v/>
      </c>
    </row>
    <row r="20" ht="15" customHeight="1" s="11">
      <c r="A20" s="26" t="inlineStr">
        <is>
          <t>Воркшопы и курсы</t>
        </is>
      </c>
      <c r="B20" s="26">
        <f>COUNTIF(Источники!$B$2:$B$500,A20)</f>
        <v/>
      </c>
      <c r="C20" s="26">
        <f>COUNTIFS(Источники!$B$2:$B$500,A20,Источники!$J$2:$J$500,1)</f>
        <v/>
      </c>
      <c r="D20" s="26">
        <f>COUNTIFS(Источники!$B$2:$B$500,A20,Источники!$K$2:$K$500,"да")</f>
        <v/>
      </c>
      <c r="E20" s="26">
        <f>B20-D20</f>
        <v/>
      </c>
    </row>
    <row r="21" ht="15" customHeight="1" s="11">
      <c r="A21" s="26" t="inlineStr">
        <is>
          <t>Сообщества и благотворительность</t>
        </is>
      </c>
      <c r="B21" s="26">
        <f>COUNTIF(Источники!$B$2:$B$500,A21)</f>
        <v/>
      </c>
      <c r="C21" s="26">
        <f>COUNTIFS(Источники!$B$2:$B$500,A21,Источники!$J$2:$J$500,1)</f>
        <v/>
      </c>
      <c r="D21" s="26">
        <f>COUNTIFS(Источники!$B$2:$B$500,A21,Источники!$K$2:$K$500,"да")</f>
        <v/>
      </c>
      <c r="E21" s="26">
        <f>B21-D21</f>
        <v/>
      </c>
    </row>
    <row r="22" ht="15" customHeight="1" s="11">
      <c r="A22" s="26" t="inlineStr">
        <is>
          <t>Практическое</t>
        </is>
      </c>
      <c r="B22" s="26">
        <f>COUNTIF(Источники!$B$2:$B$500,A22)</f>
        <v/>
      </c>
      <c r="C22" s="26">
        <f>COUNTIFS(Источники!$B$2:$B$500,A22,Источники!$J$2:$J$500,1)</f>
        <v/>
      </c>
      <c r="D22" s="26">
        <f>COUNTIFS(Источники!$B$2:$B$500,A22,Источники!$K$2:$K$500,"да")</f>
        <v/>
      </c>
      <c r="E22" s="26">
        <f>B22-D22</f>
        <v/>
      </c>
    </row>
    <row r="23" ht="15" customHeight="1" s="11">
      <c r="A23" s="27" t="inlineStr">
        <is>
          <t>Итого</t>
        </is>
      </c>
      <c r="B23" s="27">
        <f>SUM(B2:B22)</f>
        <v/>
      </c>
      <c r="C23" s="27">
        <f>SUM(C2:C22)</f>
        <v/>
      </c>
      <c r="D23" s="27">
        <f>SUM(D2:D22)</f>
        <v/>
      </c>
      <c r="E23" s="27">
        <f>SUM(E2:E22)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0" min="1" max="1"/>
    <col width="18" customWidth="1" style="10" min="2" max="2"/>
    <col width="16" customWidth="1" style="10" min="3" max="3"/>
    <col width="34" customWidth="1" style="10" min="4" max="4"/>
    <col width="52" customWidth="1" style="10" min="5" max="5"/>
  </cols>
  <sheetData>
    <row r="1" ht="15" customHeight="1" s="11">
      <c r="A1" s="25" t="inlineStr">
        <is>
          <t>Поле</t>
        </is>
      </c>
      <c r="B1" s="25" t="inlineStr">
        <is>
          <t>Тип</t>
        </is>
      </c>
      <c r="C1" s="25" t="inlineStr">
        <is>
          <t>Обязательное</t>
        </is>
      </c>
      <c r="D1" s="25" t="inlineStr">
        <is>
          <t>Пример</t>
        </is>
      </c>
      <c r="E1" s="25" t="inlineStr">
        <is>
          <t>Комментарий</t>
        </is>
      </c>
    </row>
    <row r="2" ht="15" customHeight="1" s="11">
      <c r="A2" s="28" t="inlineStr">
        <is>
          <t>event_id</t>
        </is>
      </c>
      <c r="B2" s="28" t="inlineStr">
        <is>
          <t>текст</t>
        </is>
      </c>
      <c r="C2" s="28" t="inlineStr">
        <is>
          <t>да</t>
        </is>
      </c>
      <c r="D2" s="28" t="inlineStr">
        <is>
          <t>EV-2026-000123</t>
        </is>
      </c>
      <c r="E2" s="28" t="inlineStr">
        <is>
          <t>Внутренний ID</t>
        </is>
      </c>
    </row>
    <row r="3" ht="15" customHeight="1" s="11">
      <c r="A3" s="28" t="inlineStr">
        <is>
          <t>title</t>
        </is>
      </c>
      <c r="B3" s="28" t="inlineStr">
        <is>
          <t>текст</t>
        </is>
      </c>
      <c r="C3" s="28" t="inlineStr">
        <is>
          <t>да</t>
        </is>
      </c>
      <c r="D3" s="28" t="inlineStr">
        <is>
          <t>Cambridge United vs AFC Wimbledon</t>
        </is>
      </c>
      <c r="E3" s="28" t="n"/>
    </row>
    <row r="4" ht="15" customHeight="1" s="11">
      <c r="A4" s="28" t="inlineStr">
        <is>
          <t>category</t>
        </is>
      </c>
      <c r="B4" s="28" t="inlineStr">
        <is>
          <t>список</t>
        </is>
      </c>
      <c r="C4" s="28" t="inlineStr">
        <is>
          <t>да</t>
        </is>
      </c>
      <c r="D4" s="28" t="inlineStr">
        <is>
          <t>Спорт — смотреть</t>
        </is>
      </c>
      <c r="E4" s="28" t="inlineStr">
        <is>
          <t>Из листа «Категории и теги»</t>
        </is>
      </c>
    </row>
    <row r="5" ht="15" customHeight="1" s="11">
      <c r="A5" s="28" t="inlineStr">
        <is>
          <t>date_start</t>
        </is>
      </c>
      <c r="B5" s="28" t="inlineStr">
        <is>
          <t>дата</t>
        </is>
      </c>
      <c r="C5" s="28" t="inlineStr">
        <is>
          <t>да</t>
        </is>
      </c>
      <c r="D5" s="28" t="inlineStr">
        <is>
          <t>2026-09-26</t>
        </is>
      </c>
      <c r="E5" s="28" t="n"/>
    </row>
    <row r="6" ht="15" customHeight="1" s="11">
      <c r="A6" s="28" t="inlineStr">
        <is>
          <t>time_start</t>
        </is>
      </c>
      <c r="B6" s="28" t="inlineStr">
        <is>
          <t>время</t>
        </is>
      </c>
      <c r="C6" s="28" t="inlineStr">
        <is>
          <t>да, если известно</t>
        </is>
      </c>
      <c r="D6" s="28" t="inlineStr">
        <is>
          <t>15:00</t>
        </is>
      </c>
      <c r="E6" s="28" t="inlineStr">
        <is>
          <t>Пусто = весь день</t>
        </is>
      </c>
    </row>
    <row r="7" ht="15" customHeight="1" s="11">
      <c r="A7" s="28" t="inlineStr">
        <is>
          <t>date_end</t>
        </is>
      </c>
      <c r="B7" s="28" t="inlineStr">
        <is>
          <t>дата</t>
        </is>
      </c>
      <c r="C7" s="28" t="inlineStr">
        <is>
          <t>нет</t>
        </is>
      </c>
      <c r="D7" s="28" t="inlineStr">
        <is>
          <t>2026-09-26</t>
        </is>
      </c>
      <c r="E7" s="28" t="inlineStr">
        <is>
          <t>Для многодневных</t>
        </is>
      </c>
    </row>
    <row r="8" ht="15" customHeight="1" s="11">
      <c r="A8" s="28" t="inlineStr">
        <is>
          <t>time_end</t>
        </is>
      </c>
      <c r="B8" s="28" t="inlineStr">
        <is>
          <t>время</t>
        </is>
      </c>
      <c r="C8" s="28" t="inlineStr">
        <is>
          <t>нет</t>
        </is>
      </c>
      <c r="D8" s="28" t="inlineStr">
        <is>
          <t>17:00</t>
        </is>
      </c>
      <c r="E8" s="28" t="n"/>
    </row>
    <row r="9" ht="15" customHeight="1" s="11">
      <c r="A9" s="28" t="inlineStr">
        <is>
          <t>venue_name</t>
        </is>
      </c>
      <c r="B9" s="28" t="inlineStr">
        <is>
          <t>текст</t>
        </is>
      </c>
      <c r="C9" s="28" t="inlineStr">
        <is>
          <t>да</t>
        </is>
      </c>
      <c r="D9" s="28" t="inlineStr">
        <is>
          <t>Abbey Stadium</t>
        </is>
      </c>
      <c r="E9" s="28" t="n"/>
    </row>
    <row r="10" ht="15" customHeight="1" s="11">
      <c r="A10" s="28" t="inlineStr">
        <is>
          <t>address</t>
        </is>
      </c>
      <c r="B10" s="28" t="inlineStr">
        <is>
          <t>текст</t>
        </is>
      </c>
      <c r="C10" s="28" t="inlineStr">
        <is>
          <t>да</t>
        </is>
      </c>
      <c r="D10" s="28" t="inlineStr">
        <is>
          <t>Newmarket Road, Cambridge</t>
        </is>
      </c>
      <c r="E10" s="28" t="inlineStr">
        <is>
          <t>Точный адрес</t>
        </is>
      </c>
    </row>
    <row r="11" ht="15" customHeight="1" s="11">
      <c r="A11" s="28" t="inlineStr">
        <is>
          <t>postcode</t>
        </is>
      </c>
      <c r="B11" s="28" t="inlineStr">
        <is>
          <t>текст</t>
        </is>
      </c>
      <c r="C11" s="28" t="inlineStr">
        <is>
          <t>да</t>
        </is>
      </c>
      <c r="D11" s="28" t="inlineStr">
        <is>
          <t>(заполнять из источника)</t>
        </is>
      </c>
      <c r="E11" s="28" t="inlineStr">
        <is>
          <t>Для карты и расчёта зоны</t>
        </is>
      </c>
    </row>
    <row r="12" ht="15" customHeight="1" s="11">
      <c r="A12" s="28" t="inlineStr">
        <is>
          <t>lat / lon</t>
        </is>
      </c>
      <c r="B12" s="28" t="inlineStr">
        <is>
          <t>число</t>
        </is>
      </c>
      <c r="C12" s="28" t="inlineStr">
        <is>
          <t>нет</t>
        </is>
      </c>
      <c r="D12" s="28" t="inlineStr">
        <is>
          <t>52.21, 0.15</t>
        </is>
      </c>
      <c r="E12" s="28" t="inlineStr">
        <is>
          <t>Геокодирование по postcode</t>
        </is>
      </c>
    </row>
    <row r="13" ht="15" customHeight="1" s="11">
      <c r="A13" s="28" t="inlineStr">
        <is>
          <t>zone</t>
        </is>
      </c>
      <c r="B13" s="28" t="inlineStr">
        <is>
          <t>список</t>
        </is>
      </c>
      <c r="C13" s="28" t="inlineStr">
        <is>
          <t>да</t>
        </is>
      </c>
      <c r="D13" s="28" t="inlineStr">
        <is>
          <t>Центр</t>
        </is>
      </c>
      <c r="E13" s="28" t="inlineStr">
        <is>
          <t>Тег: Центр / до 30 мин / до часа — считается автоматически</t>
        </is>
      </c>
    </row>
    <row r="14" ht="15" customHeight="1" s="11">
      <c r="A14" s="28" t="inlineStr">
        <is>
          <t>price_from</t>
        </is>
      </c>
      <c r="B14" s="28" t="inlineStr">
        <is>
          <t>число, £</t>
        </is>
      </c>
      <c r="C14" s="28" t="inlineStr">
        <is>
          <t>нет</t>
        </is>
      </c>
      <c r="D14" s="28" t="inlineStr">
        <is>
          <t>0</t>
        </is>
      </c>
      <c r="E14" s="28" t="inlineStr">
        <is>
          <t>0 = бесплатно</t>
        </is>
      </c>
    </row>
    <row r="15" ht="15" customHeight="1" s="11">
      <c r="A15" s="28" t="inlineStr">
        <is>
          <t>price_tag</t>
        </is>
      </c>
      <c r="B15" s="28" t="inlineStr">
        <is>
          <t>список</t>
        </is>
      </c>
      <c r="C15" s="28" t="inlineStr">
        <is>
          <t>да</t>
        </is>
      </c>
      <c r="D15" s="28" t="inlineStr">
        <is>
          <t>бесплатно / до £10 / дороже</t>
        </is>
      </c>
      <c r="E15" s="28" t="n"/>
    </row>
    <row r="16" ht="15" customHeight="1" s="11">
      <c r="A16" s="28" t="inlineStr">
        <is>
          <t>audience</t>
        </is>
      </c>
      <c r="B16" s="28" t="inlineStr">
        <is>
          <t>список (несколько)</t>
        </is>
      </c>
      <c r="C16" s="28" t="inlineStr">
        <is>
          <t>нет</t>
        </is>
      </c>
      <c r="D16" s="28" t="inlineStr">
        <is>
          <t>дети 5–12; семьи</t>
        </is>
      </c>
      <c r="E16" s="28" t="n"/>
    </row>
    <row r="17" ht="23.85" customHeight="1" s="11">
      <c r="A17" s="28" t="inlineStr">
        <is>
          <t>booking</t>
        </is>
      </c>
      <c r="B17" s="28" t="inlineStr">
        <is>
          <t>список</t>
        </is>
      </c>
      <c r="C17" s="28" t="inlineStr">
        <is>
          <t>да</t>
        </is>
      </c>
      <c r="D17" s="28" t="inlineStr">
        <is>
          <t>без билетов / бронировать / продажа скоро</t>
        </is>
      </c>
      <c r="E17" s="28" t="n"/>
    </row>
    <row r="18" ht="15" customHeight="1" s="11">
      <c r="A18" s="28" t="inlineStr">
        <is>
          <t>status</t>
        </is>
      </c>
      <c r="B18" s="28" t="inlineStr">
        <is>
          <t>список</t>
        </is>
      </c>
      <c r="C18" s="28" t="inlineStr">
        <is>
          <t>да</t>
        </is>
      </c>
      <c r="D18" s="28" t="inlineStr">
        <is>
          <t>по плану</t>
        </is>
      </c>
      <c r="E18" s="28" t="inlineStr">
        <is>
          <t>по плану / перенесено / отменено / sold out</t>
        </is>
      </c>
    </row>
    <row r="19" ht="15" customHeight="1" s="11">
      <c r="A19" s="28" t="inlineStr">
        <is>
          <t>ticket_url</t>
        </is>
      </c>
      <c r="B19" s="28" t="inlineStr">
        <is>
          <t>URL</t>
        </is>
      </c>
      <c r="C19" s="28" t="inlineStr">
        <is>
          <t>нет</t>
        </is>
      </c>
      <c r="D19" s="28" t="n"/>
      <c r="E19" s="28" t="inlineStr">
        <is>
          <t>Здесь партнёрская ссылка, если есть</t>
        </is>
      </c>
    </row>
    <row r="20" ht="15" customHeight="1" s="11">
      <c r="A20" s="28" t="inlineStr">
        <is>
          <t>source_id</t>
        </is>
      </c>
      <c r="B20" s="28" t="inlineStr">
        <is>
          <t>ссылка</t>
        </is>
      </c>
      <c r="C20" s="28" t="inlineStr">
        <is>
          <t>да</t>
        </is>
      </c>
      <c r="D20" s="28" t="inlineStr">
        <is>
          <t>S018</t>
        </is>
      </c>
      <c r="E20" s="28" t="inlineStr">
        <is>
          <t>ID из листа «Источники»</t>
        </is>
      </c>
    </row>
    <row r="21" ht="15" customHeight="1" s="11">
      <c r="A21" s="28" t="inlineStr">
        <is>
          <t>source_url</t>
        </is>
      </c>
      <c r="B21" s="28" t="inlineStr">
        <is>
          <t>URL</t>
        </is>
      </c>
      <c r="C21" s="28" t="inlineStr">
        <is>
          <t>да</t>
        </is>
      </c>
      <c r="D21" s="28" t="n"/>
      <c r="E21" s="28" t="inlineStr">
        <is>
          <t>Страница события у первоисточника</t>
        </is>
      </c>
    </row>
    <row r="22" ht="15" customHeight="1" s="11">
      <c r="A22" s="28" t="inlineStr">
        <is>
          <t>description_short</t>
        </is>
      </c>
      <c r="B22" s="28" t="inlineStr">
        <is>
          <t>текст</t>
        </is>
      </c>
      <c r="C22" s="28" t="inlineStr">
        <is>
          <t>да</t>
        </is>
      </c>
      <c r="D22" s="28" t="n"/>
      <c r="E22" s="28" t="inlineStr">
        <is>
          <t>2–3 предложения своими словами (не копировать)</t>
        </is>
      </c>
    </row>
    <row r="23" ht="15" customHeight="1" s="11">
      <c r="A23" s="28" t="inlineStr">
        <is>
          <t>score</t>
        </is>
      </c>
      <c r="B23" s="28" t="inlineStr">
        <is>
          <t>число 1–10</t>
        </is>
      </c>
      <c r="C23" s="28" t="inlineStr">
        <is>
          <t>нет</t>
        </is>
      </c>
      <c r="D23" s="28" t="inlineStr">
        <is>
          <t>8</t>
        </is>
      </c>
      <c r="E23" s="28" t="inlineStr">
        <is>
          <t>Оценка LLM «стоит ли внимания»</t>
        </is>
      </c>
    </row>
    <row r="24" ht="15" customHeight="1" s="11">
      <c r="A24" s="28" t="inlineStr">
        <is>
          <t>last_checked</t>
        </is>
      </c>
      <c r="B24" s="28" t="inlineStr">
        <is>
          <t>дата-время</t>
        </is>
      </c>
      <c r="C24" s="28" t="inlineStr">
        <is>
          <t>да</t>
        </is>
      </c>
      <c r="D24" s="28" t="n"/>
      <c r="E24" s="28" t="inlineStr">
        <is>
          <t>Когда контур отмен последний раз проверял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0" min="1" max="1"/>
    <col width="36" customWidth="1" style="10" min="2" max="2"/>
  </cols>
  <sheetData>
    <row r="1" ht="15" customHeight="1" s="11">
      <c r="A1" s="25" t="inlineStr">
        <is>
          <t>Ось</t>
        </is>
      </c>
      <c r="B1" s="25" t="inlineStr">
        <is>
          <t>Значение</t>
        </is>
      </c>
    </row>
    <row r="2" ht="15" customHeight="1" s="11">
      <c r="A2" s="26" t="inlineStr">
        <is>
          <t>Категория</t>
        </is>
      </c>
      <c r="B2" s="26" t="inlineStr">
        <is>
          <t>Концерты</t>
        </is>
      </c>
    </row>
    <row r="3" ht="15" customHeight="1" s="11">
      <c r="A3" s="26" t="inlineStr">
        <is>
          <t>Категория</t>
        </is>
      </c>
      <c r="B3" s="26" t="inlineStr">
        <is>
          <t>Спорт — смотреть</t>
        </is>
      </c>
    </row>
    <row r="4" ht="15" customHeight="1" s="11">
      <c r="A4" s="26" t="inlineStr">
        <is>
          <t>Категория</t>
        </is>
      </c>
      <c r="B4" s="26" t="inlineStr">
        <is>
          <t>Спорт — участвовать</t>
        </is>
      </c>
    </row>
    <row r="5" ht="15" customHeight="1" s="11">
      <c r="A5" s="26" t="inlineStr">
        <is>
          <t>Категория</t>
        </is>
      </c>
      <c r="B5" s="26" t="inlineStr">
        <is>
          <t>Фестивали</t>
        </is>
      </c>
    </row>
    <row r="6" ht="15" customHeight="1" s="11">
      <c r="A6" s="26" t="inlineStr">
        <is>
          <t>Категория</t>
        </is>
      </c>
      <c r="B6" s="26" t="inlineStr">
        <is>
          <t>Ярмарки</t>
        </is>
      </c>
    </row>
    <row r="7" ht="15" customHeight="1" s="11">
      <c r="A7" s="26" t="inlineStr">
        <is>
          <t>Категория</t>
        </is>
      </c>
      <c r="B7" s="26" t="inlineStr">
        <is>
          <t>Театр</t>
        </is>
      </c>
    </row>
    <row r="8" ht="15" customHeight="1" s="11">
      <c r="A8" s="26" t="inlineStr">
        <is>
          <t>Категория</t>
        </is>
      </c>
      <c r="B8" s="26" t="inlineStr">
        <is>
          <t>Кино</t>
        </is>
      </c>
    </row>
    <row r="9" ht="15" customHeight="1" s="11">
      <c r="A9" s="26" t="inlineStr">
        <is>
          <t>Категория</t>
        </is>
      </c>
      <c r="B9" s="26" t="inlineStr">
        <is>
          <t>Лекции</t>
        </is>
      </c>
    </row>
    <row r="10" ht="15" customHeight="1" s="11">
      <c r="A10" s="26" t="inlineStr">
        <is>
          <t>Категория</t>
        </is>
      </c>
      <c r="B10" s="26" t="inlineStr">
        <is>
          <t>Выставки и музеи</t>
        </is>
      </c>
    </row>
    <row r="11" ht="15" customHeight="1" s="11">
      <c r="A11" s="26" t="inlineStr">
        <is>
          <t>Категория</t>
        </is>
      </c>
      <c r="B11" s="26" t="inlineStr">
        <is>
          <t>Детям и семьям</t>
        </is>
      </c>
    </row>
    <row r="12" ht="15" customHeight="1" s="11">
      <c r="A12" s="26" t="inlineStr">
        <is>
          <t>Категория</t>
        </is>
      </c>
      <c r="B12" s="26" t="inlineStr">
        <is>
          <t>Еда и напитки</t>
        </is>
      </c>
    </row>
    <row r="13" ht="15" customHeight="1" s="11">
      <c r="A13" s="26" t="inlineStr">
        <is>
          <t>Категория</t>
        </is>
      </c>
      <c r="B13" s="26" t="inlineStr">
        <is>
          <t>Рынки и барахолки</t>
        </is>
      </c>
    </row>
    <row r="14" ht="15" customHeight="1" s="11">
      <c r="A14" s="26" t="inlineStr">
        <is>
          <t>Категория</t>
        </is>
      </c>
      <c r="B14" s="26" t="inlineStr">
        <is>
          <t>Комедия и стендап</t>
        </is>
      </c>
    </row>
    <row r="15" ht="15" customHeight="1" s="11">
      <c r="A15" s="26" t="inlineStr">
        <is>
          <t>Категория</t>
        </is>
      </c>
      <c r="B15" s="26" t="inlineStr">
        <is>
          <t>Ночная жизнь</t>
        </is>
      </c>
    </row>
    <row r="16" ht="15" customHeight="1" s="11">
      <c r="A16" s="26" t="inlineStr">
        <is>
          <t>Категория</t>
        </is>
      </c>
      <c r="B16" s="26" t="inlineStr">
        <is>
          <t>Открытые двери и экскурсии</t>
        </is>
      </c>
    </row>
    <row r="17" ht="15" customHeight="1" s="11">
      <c r="A17" s="26" t="inlineStr">
        <is>
          <t>Категория</t>
        </is>
      </c>
      <c r="B17" s="26" t="inlineStr">
        <is>
          <t>Природа и загородные поездки</t>
        </is>
      </c>
    </row>
    <row r="18" ht="15" customHeight="1" s="11">
      <c r="A18" s="26" t="inlineStr">
        <is>
          <t>Категория</t>
        </is>
      </c>
      <c r="B18" s="26" t="inlineStr">
        <is>
          <t>Праздники и сезонное</t>
        </is>
      </c>
    </row>
    <row r="19" ht="15" customHeight="1" s="11">
      <c r="A19" s="26" t="inlineStr">
        <is>
          <t>Категория</t>
        </is>
      </c>
      <c r="B19" s="26" t="inlineStr">
        <is>
          <t>Воркшопы и курсы</t>
        </is>
      </c>
    </row>
    <row r="20" ht="15" customHeight="1" s="11">
      <c r="A20" s="26" t="inlineStr">
        <is>
          <t>Категория</t>
        </is>
      </c>
      <c r="B20" s="26" t="inlineStr">
        <is>
          <t>Сообщества и благотворительность</t>
        </is>
      </c>
    </row>
    <row r="21" ht="15" customHeight="1" s="11">
      <c r="A21" s="26" t="inlineStr">
        <is>
          <t>Категория</t>
        </is>
      </c>
      <c r="B21" s="26" t="inlineStr">
        <is>
          <t>Практическое</t>
        </is>
      </c>
    </row>
    <row r="22" ht="15" customHeight="1" s="11">
      <c r="A22" s="26" t="inlineStr">
        <is>
          <t>Аудитория</t>
        </is>
      </c>
      <c r="B22" s="26" t="inlineStr">
        <is>
          <t>дети до 5</t>
        </is>
      </c>
    </row>
    <row r="23" ht="15" customHeight="1" s="11">
      <c r="A23" s="26" t="inlineStr">
        <is>
          <t>Аудитория</t>
        </is>
      </c>
      <c r="B23" s="26" t="inlineStr">
        <is>
          <t>дети 5–12</t>
        </is>
      </c>
    </row>
    <row r="24" ht="15" customHeight="1" s="11">
      <c r="A24" s="26" t="inlineStr">
        <is>
          <t>Аудитория</t>
        </is>
      </c>
      <c r="B24" s="26" t="inlineStr">
        <is>
          <t>подростки</t>
        </is>
      </c>
    </row>
    <row r="25" ht="15" customHeight="1" s="11">
      <c r="A25" s="26" t="inlineStr">
        <is>
          <t>Аудитория</t>
        </is>
      </c>
      <c r="B25" s="26" t="inlineStr">
        <is>
          <t>семьи</t>
        </is>
      </c>
    </row>
    <row r="26" ht="15" customHeight="1" s="11">
      <c r="A26" s="26" t="inlineStr">
        <is>
          <t>Аудитория</t>
        </is>
      </c>
      <c r="B26" s="26" t="inlineStr">
        <is>
          <t>18+</t>
        </is>
      </c>
    </row>
    <row r="27" ht="15" customHeight="1" s="11">
      <c r="A27" s="26" t="inlineStr">
        <is>
          <t>Цена</t>
        </is>
      </c>
      <c r="B27" s="26" t="inlineStr">
        <is>
          <t>бесплатно</t>
        </is>
      </c>
    </row>
    <row r="28" ht="15" customHeight="1" s="11">
      <c r="A28" s="26" t="inlineStr">
        <is>
          <t>Цена</t>
        </is>
      </c>
      <c r="B28" s="26" t="inlineStr">
        <is>
          <t>до £10</t>
        </is>
      </c>
    </row>
    <row r="29" ht="15" customHeight="1" s="11">
      <c r="A29" s="26" t="inlineStr">
        <is>
          <t>Цена</t>
        </is>
      </c>
      <c r="B29" s="26" t="inlineStr">
        <is>
          <t>дороже</t>
        </is>
      </c>
    </row>
    <row r="30" ht="15" customHeight="1" s="11">
      <c r="A30" s="26" t="inlineStr">
        <is>
          <t>Зона</t>
        </is>
      </c>
      <c r="B30" s="26" t="inlineStr">
        <is>
          <t>Центр</t>
        </is>
      </c>
    </row>
    <row r="31" ht="15" customHeight="1" s="11">
      <c r="A31" s="26" t="inlineStr">
        <is>
          <t>Зона</t>
        </is>
      </c>
      <c r="B31" s="26" t="inlineStr">
        <is>
          <t>до 30 мин</t>
        </is>
      </c>
    </row>
    <row r="32" ht="15" customHeight="1" s="11">
      <c r="A32" s="26" t="inlineStr">
        <is>
          <t>Зона</t>
        </is>
      </c>
      <c r="B32" s="26" t="inlineStr">
        <is>
          <t>до часа</t>
        </is>
      </c>
    </row>
    <row r="33" ht="15" customHeight="1" s="11">
      <c r="A33" s="26" t="inlineStr">
        <is>
          <t>Бронирование</t>
        </is>
      </c>
      <c r="B33" s="26" t="inlineStr">
        <is>
          <t>без билетов</t>
        </is>
      </c>
    </row>
    <row r="34" ht="15" customHeight="1" s="11">
      <c r="A34" s="26" t="inlineStr">
        <is>
          <t>Бронирование</t>
        </is>
      </c>
      <c r="B34" s="26" t="inlineStr">
        <is>
          <t>нужно бронировать</t>
        </is>
      </c>
    </row>
    <row r="35" ht="15" customHeight="1" s="11">
      <c r="A35" s="26" t="inlineStr">
        <is>
          <t>Бронирование</t>
        </is>
      </c>
      <c r="B35" s="26" t="inlineStr">
        <is>
          <t>продажа открывается скоро</t>
        </is>
      </c>
    </row>
    <row r="36" ht="15" customHeight="1" s="11">
      <c r="A36" s="26" t="inlineStr">
        <is>
          <t>Статус</t>
        </is>
      </c>
      <c r="B36" s="26" t="inlineStr">
        <is>
          <t>по плану</t>
        </is>
      </c>
    </row>
    <row r="37" ht="15" customHeight="1" s="11">
      <c r="A37" s="26" t="inlineStr">
        <is>
          <t>Статус</t>
        </is>
      </c>
      <c r="B37" s="26" t="inlineStr">
        <is>
          <t>перенесено</t>
        </is>
      </c>
    </row>
    <row r="38" ht="15" customHeight="1" s="11">
      <c r="A38" s="26" t="inlineStr">
        <is>
          <t>Статус</t>
        </is>
      </c>
      <c r="B38" s="26" t="inlineStr">
        <is>
          <t>отменено</t>
        </is>
      </c>
    </row>
    <row r="39" ht="15" customHeight="1" s="11">
      <c r="A39" s="26" t="inlineStr">
        <is>
          <t>Статус</t>
        </is>
      </c>
      <c r="B39" s="26" t="inlineStr">
        <is>
          <t>sold out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8" customWidth="1" style="11" min="1" max="1"/>
    <col width="40" customWidth="1" style="11" min="2" max="2"/>
    <col width="12" customWidth="1" style="11" min="3" max="3"/>
    <col width="16" customWidth="1" style="11" min="4" max="4"/>
    <col width="14" customWidth="1" style="11" min="5" max="5"/>
    <col width="60" customWidth="1" style="11" min="6" max="6"/>
    <col width="9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Состояние</t>
        </is>
      </c>
      <c r="D1" s="20" t="inlineStr">
        <is>
          <t>Решение</t>
        </is>
      </c>
      <c r="E1" s="20" t="inlineStr">
        <is>
          <t>Способ</t>
        </is>
      </c>
      <c r="F1" s="20" t="inlineStr">
        <is>
          <t>Endpoint</t>
        </is>
      </c>
      <c r="G1" s="20" t="inlineStr">
        <is>
          <t>Примечание</t>
        </is>
      </c>
    </row>
    <row r="2">
      <c r="A2" s="10" t="inlineStr">
        <is>
          <t>S010</t>
        </is>
      </c>
      <c r="B2" s="10" t="inlineStr">
        <is>
          <t>Peterborough Telegraph</t>
        </is>
      </c>
      <c r="C2" s="10" t="inlineStr">
        <is>
          <t>живой</t>
        </is>
      </c>
      <c r="D2" s="33" t="inlineStr">
        <is>
          <t>подключён</t>
        </is>
      </c>
      <c r="E2" s="10" t="inlineStr">
        <is>
          <t>RSS</t>
        </is>
      </c>
      <c r="F2" s="10" t="inlineStr">
        <is>
          <t>https://www.peterboroughtoday.co.uk/rss</t>
        </is>
      </c>
      <c r="G2" s="10" t="inlineStr">
        <is>
          <t>RSS (HTML сайта — 403); статьи → извлечение через Claude</t>
        </is>
      </c>
    </row>
    <row r="3">
      <c r="A3" s="10" t="inlineStr">
        <is>
          <t>S013</t>
        </is>
      </c>
      <c r="B3" s="10" t="inlineStr">
        <is>
          <t>The Portland Arms</t>
        </is>
      </c>
      <c r="C3" s="10" t="inlineStr">
        <is>
          <t>закрыт</t>
        </is>
      </c>
      <c r="D3" s="10" t="inlineStr">
        <is>
          <t>не нужен</t>
        </is>
      </c>
      <c r="G3" s="10" t="inlineStr">
        <is>
          <t>robots.txt отвечает 403; концерты есть на Ents24/Skiddle (S006/S007)</t>
        </is>
      </c>
    </row>
    <row r="4">
      <c r="A4" s="10" t="inlineStr">
        <is>
          <t>S014</t>
        </is>
      </c>
      <c r="B4" s="10" t="inlineStr">
        <is>
          <t>Storey's Field Centre (Eddington)</t>
        </is>
      </c>
      <c r="C4" s="10" t="inlineStr">
        <is>
          <t>живой</t>
        </is>
      </c>
      <c r="D4" s="10" t="inlineStr">
        <is>
          <t>не нужен</t>
        </is>
      </c>
      <c r="E4" s="10" t="inlineStr">
        <is>
          <t>RSS</t>
        </is>
      </c>
      <c r="F4" s="10" t="inlineStr">
        <is>
          <t>https://www.storeysfieldcentre.org.uk/feed/</t>
        </is>
      </c>
      <c r="G4" s="10" t="inlineStr">
        <is>
          <t>фид — 3 новости; события продаются через Eventbrite (S008) и Cambridge Live Tickets (S091)</t>
        </is>
      </c>
    </row>
    <row r="5">
      <c r="A5" s="10" t="inlineStr">
        <is>
          <t>S015</t>
        </is>
      </c>
      <c r="B5" s="10" t="inlineStr">
        <is>
          <t>West Road Concert Hall</t>
        </is>
      </c>
      <c r="C5" s="10" t="inlineStr">
        <is>
          <t>живой</t>
        </is>
      </c>
      <c r="D5" s="10" t="inlineStr">
        <is>
          <t>не нужен</t>
        </is>
      </c>
      <c r="E5" s="10" t="inlineStr">
        <is>
          <t>HTML</t>
        </is>
      </c>
      <c r="F5" s="10" t="inlineStr">
        <is>
          <t>https://www.westroad.org</t>
        </is>
      </c>
      <c r="G5" s="10" t="inlineStr">
        <is>
          <t>HTML без JSON-LD; концерты уже приходят из S091, S005, S007, S008</t>
        </is>
      </c>
    </row>
    <row r="6">
      <c r="A6" s="10" t="inlineStr">
        <is>
          <t>S017</t>
        </is>
      </c>
      <c r="B6" s="10" t="inlineStr">
        <is>
          <t>Saffron Hall</t>
        </is>
      </c>
      <c r="C6" s="10" t="inlineStr">
        <is>
          <t>живой</t>
        </is>
      </c>
      <c r="D6" s="33" t="inlineStr">
        <is>
          <t>подключён</t>
        </is>
      </c>
      <c r="E6" s="10" t="inlineStr">
        <is>
          <t>HTML</t>
        </is>
      </c>
      <c r="F6" s="10" t="inlineStr">
        <is>
          <t>https://www.saffronhall.com/</t>
        </is>
      </c>
      <c r="G6" s="10" t="inlineStr">
        <is>
          <t>HTML-карточки: дата, время, наличие билетов (Nearly full → «мало билетов»), отмены</t>
        </is>
      </c>
    </row>
    <row r="7">
      <c r="A7" s="10" t="inlineStr">
        <is>
          <t>S020</t>
        </is>
      </c>
      <c r="B7" s="10" t="inlineStr">
        <is>
          <t>Cambridge Rugby Club</t>
        </is>
      </c>
      <c r="C7" s="10" t="inlineStr">
        <is>
          <t>закрыт</t>
        </is>
      </c>
      <c r="D7" s="19" t="inlineStr">
        <is>
          <t>закрыт</t>
        </is>
      </c>
      <c r="G7" s="10" t="inlineStr">
        <is>
          <t>страница-проверка (HTTP 202, бот-защита); обходить не будем</t>
        </is>
      </c>
    </row>
    <row r="8">
      <c r="A8" s="10" t="inlineStr">
        <is>
          <t>S023</t>
        </is>
      </c>
      <c r="B8" s="10" t="inlineStr">
        <is>
          <t>CUCBC — May Bumps / Lent Bumps</t>
        </is>
      </c>
      <c r="C8" s="10" t="inlineStr">
        <is>
          <t>живой</t>
        </is>
      </c>
      <c r="D8" s="10" t="inlineStr">
        <is>
          <t>ежегодное</t>
        </is>
      </c>
      <c r="E8" s="10" t="inlineStr">
        <is>
          <t>RSS</t>
        </is>
      </c>
      <c r="F8" s="10" t="inlineStr">
        <is>
          <t>https://www.cucbc.org/rss.xml</t>
        </is>
      </c>
      <c r="G8" s="10" t="inlineStr">
        <is>
          <t>Lent/May Bumps — сезонно; RSS новостей есть; даты — через recurring_events</t>
        </is>
      </c>
    </row>
    <row r="9">
      <c r="A9" s="10" t="inlineStr">
        <is>
          <t>S027</t>
        </is>
      </c>
      <c r="B9" s="10" t="inlineStr">
        <is>
          <t>RunThrough — события в Кембридже</t>
        </is>
      </c>
      <c r="C9" s="10" t="inlineStr">
        <is>
          <t>живой</t>
        </is>
      </c>
      <c r="D9" s="33" t="inlineStr">
        <is>
          <t>подключён</t>
        </is>
      </c>
      <c r="E9" s="10" t="inlineStr">
        <is>
          <t>JSON-LD</t>
        </is>
      </c>
      <c r="F9" s="10" t="inlineStr">
        <is>
          <t>https://www.runthrough.co.uk/events-timeline</t>
        </is>
      </c>
      <c r="G9" s="10" t="inlineStr">
        <is>
          <t>JSON-LD SportsEvent, но список — 24 ближайших забега по стране; сейчас в регионе 0 (фильтр по почтовым зонам). Ценность низкая — пересмотреть на этапе 6</t>
        </is>
      </c>
    </row>
    <row r="10">
      <c r="A10" s="10" t="inlineStr">
        <is>
          <t>S029</t>
        </is>
      </c>
      <c r="B10" s="10" t="inlineStr">
        <is>
          <t>Let's Do This — Cambridgeshire</t>
        </is>
      </c>
      <c r="C10" s="10" t="inlineStr">
        <is>
          <t>закрыт</t>
        </is>
      </c>
      <c r="D10" s="19" t="inlineStr">
        <is>
          <t>закрыт</t>
        </is>
      </c>
      <c r="G10" s="10" t="inlineStr">
        <is>
          <t>robots.txt отвечает 403</t>
        </is>
      </c>
    </row>
    <row r="11">
      <c r="A11" s="10" t="inlineStr">
        <is>
          <t>S034</t>
        </is>
      </c>
      <c r="B11" s="10" t="inlineStr">
        <is>
          <t>Whittlesea Straw Bear Festival</t>
        </is>
      </c>
      <c r="C11" s="10" t="inlineStr">
        <is>
          <t>живой</t>
        </is>
      </c>
      <c r="D11" s="10" t="inlineStr">
        <is>
          <t>ежегодное</t>
        </is>
      </c>
      <c r="E11" s="10" t="inlineStr">
        <is>
          <t>HTML</t>
        </is>
      </c>
      <c r="F11" s="10" t="inlineStr">
        <is>
          <t>https://www.strawbear.org.uk</t>
        </is>
      </c>
      <c r="G11" s="10" t="inlineStr">
        <is>
          <t>уже в recurring_events (R01)</t>
        </is>
      </c>
    </row>
    <row r="12">
      <c r="A12" s="10" t="inlineStr">
        <is>
          <t>S035</t>
        </is>
      </c>
      <c r="B12" s="10" t="inlineStr">
        <is>
          <t>Cambridge Film Festival</t>
        </is>
      </c>
      <c r="C12" s="10" t="inlineStr">
        <is>
          <t>живой</t>
        </is>
      </c>
      <c r="D12" s="10" t="inlineStr">
        <is>
          <t>ежегодное</t>
        </is>
      </c>
      <c r="E12" s="10" t="inlineStr">
        <is>
          <t>HTML</t>
        </is>
      </c>
      <c r="F12" s="10" t="inlineStr">
        <is>
          <t>https://www.cambridgefilmfestival.org.uk</t>
        </is>
      </c>
      <c r="G12" s="10" t="inlineStr">
        <is>
          <t>фестиваль раз в год (осень); HTML без фида — предлагаю добавить в recurring_events</t>
        </is>
      </c>
    </row>
    <row r="13">
      <c r="A13" s="10" t="inlineStr">
        <is>
          <t>S036</t>
        </is>
      </c>
      <c r="B13" s="10" t="inlineStr">
        <is>
          <t>Cambridge Literary Festival</t>
        </is>
      </c>
      <c r="C13" s="10" t="inlineStr">
        <is>
          <t>закрыт</t>
        </is>
      </c>
      <c r="D13" s="19" t="inlineStr">
        <is>
          <t>закрыт</t>
        </is>
      </c>
      <c r="G13" s="10" t="inlineStr">
        <is>
          <t>403 на сайт и /events</t>
        </is>
      </c>
    </row>
    <row r="14">
      <c r="A14" s="10" t="inlineStr">
        <is>
          <t>S044</t>
        </is>
      </c>
      <c r="B14" s="10" t="inlineStr">
        <is>
          <t>Постановки в садах колледжей (лето)</t>
        </is>
      </c>
      <c r="C14" s="10" t="inlineStr">
        <is>
          <t>живой</t>
        </is>
      </c>
      <c r="D14" s="10" t="inlineStr">
        <is>
          <t>ежегодное</t>
        </is>
      </c>
      <c r="E14" s="10" t="inlineStr">
        <is>
          <t>HTML</t>
        </is>
      </c>
      <c r="F14" s="10" t="inlineStr">
        <is>
          <t>https://cambridgeshakespeare.com/</t>
        </is>
      </c>
      <c r="G14" s="10" t="inlineStr">
        <is>
          <t>летний сезон постановок; ручной сезонный календарь</t>
        </is>
      </c>
    </row>
    <row r="15">
      <c r="A15" s="10" t="inlineStr">
        <is>
          <t>S046</t>
        </is>
      </c>
      <c r="B15" s="10" t="inlineStr">
        <is>
          <t>Кино под открытым небом (летние сезоны)</t>
        </is>
      </c>
      <c r="C15" s="10" t="inlineStr">
        <is>
          <t>нет событий</t>
        </is>
      </c>
      <c r="D15" s="10" t="inlineStr">
        <is>
          <t>ежегодное</t>
        </is>
      </c>
      <c r="E15" s="10" t="inlineStr">
        <is>
          <t>HTML</t>
        </is>
      </c>
      <c r="F15" s="10" t="inlineStr">
        <is>
          <t>https://www.cambridgefilmfestival.org.uk</t>
        </is>
      </c>
      <c r="G15" s="10" t="inlineStr">
        <is>
          <t>летние показы; адрес организатора не подтверждён — ручной сезонный</t>
        </is>
      </c>
    </row>
    <row r="16">
      <c r="A16" s="10" t="inlineStr">
        <is>
          <t>S049</t>
        </is>
      </c>
      <c r="B16" s="10" t="inlineStr">
        <is>
          <t>Cambridge Union</t>
        </is>
      </c>
      <c r="C16" s="10" t="inlineStr">
        <is>
          <t>живой</t>
        </is>
      </c>
      <c r="D16" s="10" t="inlineStr">
        <is>
          <t>не нужен</t>
        </is>
      </c>
      <c r="E16" s="10" t="inlineStr">
        <is>
          <t>RSS</t>
        </is>
      </c>
      <c r="F16" s="10" t="inlineStr">
        <is>
          <t>https://cus.org/feed</t>
        </is>
      </c>
      <c r="G16" s="10" t="inlineStr">
        <is>
          <t>мероприятия в основном для членов Union; публичные крупные гости попадают в новости</t>
        </is>
      </c>
    </row>
    <row r="17">
      <c r="A17" s="10" t="inlineStr">
        <is>
          <t>S051</t>
        </is>
      </c>
      <c r="B17" s="10" t="inlineStr">
        <is>
          <t>Kettle's Yard</t>
        </is>
      </c>
      <c r="C17" s="10" t="inlineStr">
        <is>
          <t>живой</t>
        </is>
      </c>
      <c r="D17" s="33" t="inlineStr">
        <is>
          <t>подключён</t>
        </is>
      </c>
      <c r="E17" s="10" t="inlineStr">
        <is>
          <t>HTML</t>
        </is>
      </c>
      <c r="F17" s="10" t="inlineStr">
        <is>
          <t>https://www.kettlesyard.cam.ac.uk/whats-on/</t>
        </is>
      </c>
      <c r="G17" s="10" t="inlineStr">
        <is>
          <t>приоритет 1, коллектора не было: HTML страниц событий (контрольный пример этапа 5)</t>
        </is>
      </c>
    </row>
    <row r="18">
      <c r="A18" s="10" t="inlineStr">
        <is>
          <t>S053</t>
        </is>
      </c>
      <c r="B18" s="10" t="inlineStr">
        <is>
          <t>IWM Duxford</t>
        </is>
      </c>
      <c r="C18" s="10" t="inlineStr">
        <is>
          <t>закрыт</t>
        </is>
      </c>
      <c r="D18" s="19" t="inlineStr">
        <is>
          <t>закрыт</t>
        </is>
      </c>
      <c r="G18" s="10" t="inlineStr">
        <is>
          <t>iwm.org.uk — 403 (бот-защита) на все страницы; в Ents24/Skiddle Duxford не найден</t>
        </is>
      </c>
    </row>
    <row r="19">
      <c r="A19" s="10" t="inlineStr">
        <is>
          <t>S054</t>
        </is>
      </c>
      <c r="B19" s="10" t="inlineStr">
        <is>
          <t>Cambridge Science Centre</t>
        </is>
      </c>
      <c r="C19" s="10" t="inlineStr">
        <is>
          <t>живой</t>
        </is>
      </c>
      <c r="D19" s="32" t="inlineStr">
        <is>
          <t>отложен</t>
        </is>
      </c>
      <c r="E19" s="10" t="inlineStr">
        <is>
          <t>RSS</t>
        </is>
      </c>
      <c r="F19" s="10" t="inlineStr">
        <is>
          <t>https://www.cambridgesciencecentre.org/whats-on/feed/</t>
        </is>
      </c>
      <c r="G19" s="10" t="inlineStr">
        <is>
          <t>WordPress, тип записей events без дат в API — нужен разбор HTML (детские события — ценно)</t>
        </is>
      </c>
    </row>
    <row r="20">
      <c r="A20" s="10" t="inlineStr">
        <is>
          <t>S055</t>
        </is>
      </c>
      <c r="B20" s="10" t="inlineStr">
        <is>
          <t>Библиотеки Cambridgeshire</t>
        </is>
      </c>
      <c r="C20" s="10" t="inlineStr">
        <is>
          <t>живой</t>
        </is>
      </c>
      <c r="D20" s="32" t="inlineStr">
        <is>
          <t>отложен</t>
        </is>
      </c>
      <c r="E20" s="10" t="inlineStr">
        <is>
          <t>HTML</t>
        </is>
      </c>
      <c r="F20" s="10" t="inlineStr">
        <is>
          <t>https://www.cambridgeshire.gov.uk/residents/libraries-leisure-culture/libraries</t>
        </is>
      </c>
      <c r="G20" s="10" t="inlineStr">
        <is>
          <t>Contensis, события библиотек — на сторонних сервисах; нужен разбор</t>
        </is>
      </c>
    </row>
    <row r="21">
      <c r="A21" s="10" t="inlineStr">
        <is>
          <t>S057</t>
        </is>
      </c>
      <c r="B21" s="10" t="inlineStr">
        <is>
          <t>Eat Cambridge</t>
        </is>
      </c>
      <c r="C21" s="10" t="inlineStr">
        <is>
          <t>живой</t>
        </is>
      </c>
      <c r="D21" s="10" t="inlineStr">
        <is>
          <t>ежегодное</t>
        </is>
      </c>
      <c r="E21" s="10" t="inlineStr">
        <is>
          <t>RSS</t>
        </is>
      </c>
      <c r="F21" s="10" t="inlineStr">
        <is>
          <t>https://eat-cambridge.co.uk/feed/</t>
        </is>
      </c>
      <c r="G21" s="10" t="inlineStr">
        <is>
          <t>фестиваль в мае; фид — 3 записи</t>
        </is>
      </c>
    </row>
    <row r="22">
      <c r="A22" s="10" t="inlineStr">
        <is>
          <t>S058</t>
        </is>
      </c>
      <c r="B22" s="10" t="inlineStr">
        <is>
          <t>Открытия ресторанов</t>
        </is>
      </c>
      <c r="C22" s="10" t="inlineStr">
        <is>
          <t>—</t>
        </is>
      </c>
      <c r="D22" s="10" t="inlineStr">
        <is>
          <t>не нужен</t>
        </is>
      </c>
      <c r="G22" s="10" t="inlineStr">
        <is>
          <t>производный источник: открытия через S092/S093 (извлечение из статей)</t>
        </is>
      </c>
    </row>
    <row r="23">
      <c r="A23" s="10" t="inlineStr">
        <is>
          <t>S066</t>
        </is>
      </c>
      <c r="B23" s="10" t="inlineStr">
        <is>
          <t>Heritage Open Days</t>
        </is>
      </c>
      <c r="C23" s="10" t="inlineStr">
        <is>
          <t>живой</t>
        </is>
      </c>
      <c r="D23" s="10" t="inlineStr">
        <is>
          <t>ежегодное</t>
        </is>
      </c>
      <c r="E23" s="10" t="inlineStr">
        <is>
          <t>HTML</t>
        </is>
      </c>
      <c r="F23" s="10" t="inlineStr">
        <is>
          <t>https://www.heritageopendays.org.uk</t>
        </is>
      </c>
      <c r="G23" s="10" t="inlineStr">
        <is>
          <t>Heritage Open Days — сентябрь; поиск по региону в HTML</t>
        </is>
      </c>
    </row>
    <row r="24">
      <c r="A24" s="10" t="inlineStr">
        <is>
          <t>S067</t>
        </is>
      </c>
      <c r="B24" s="10" t="inlineStr">
        <is>
          <t>National Garden Scheme</t>
        </is>
      </c>
      <c r="C24" s="10" t="inlineStr">
        <is>
          <t>живой</t>
        </is>
      </c>
      <c r="D24" s="32" t="inlineStr">
        <is>
          <t>отложен</t>
        </is>
      </c>
      <c r="E24" s="10" t="inlineStr">
        <is>
          <t>HTML</t>
        </is>
      </c>
      <c r="F24" s="10" t="inlineStr">
        <is>
          <t>https://ngs.org.uk</t>
        </is>
      </c>
      <c r="G24" s="10" t="inlineStr">
        <is>
          <t>findagarden.ngs.org.uk — сезон весна–лето; разбор HTML</t>
        </is>
      </c>
    </row>
    <row r="25">
      <c r="A25" s="10" t="inlineStr">
        <is>
          <t>S071</t>
        </is>
      </c>
      <c r="B25" s="10" t="inlineStr">
        <is>
          <t>Ely Cathedral</t>
        </is>
      </c>
      <c r="C25" s="10" t="inlineStr">
        <is>
          <t>живой</t>
        </is>
      </c>
      <c r="D25" s="32" t="inlineStr">
        <is>
          <t>отложен</t>
        </is>
      </c>
      <c r="E25" s="10" t="inlineStr">
        <is>
          <t>HTML</t>
        </is>
      </c>
      <c r="F25" s="10" t="inlineStr">
        <is>
          <t>https://www.elycathedral.org</t>
        </is>
      </c>
      <c r="G25" s="10" t="inlineStr">
        <is>
          <t>Spektrix без JSON-LD; часть концертов уже из Ents24/Skiddle (S128/S129) и Eventbrite</t>
        </is>
      </c>
    </row>
    <row r="26">
      <c r="A26" s="10" t="inlineStr">
        <is>
          <t>S075</t>
        </is>
      </c>
      <c r="B26" s="10" t="inlineStr">
        <is>
          <t>Воркшопы в музеях</t>
        </is>
      </c>
      <c r="C26" s="10" t="inlineStr">
        <is>
          <t>—</t>
        </is>
      </c>
      <c r="D26" s="10" t="inlineStr">
        <is>
          <t>не нужен</t>
        </is>
      </c>
      <c r="G26" s="10" t="inlineStr">
        <is>
          <t>производный (музеи)</t>
        </is>
      </c>
    </row>
    <row r="27">
      <c r="A27" s="10" t="inlineStr">
        <is>
          <t>S076</t>
        </is>
      </c>
      <c r="B27" s="10" t="inlineStr">
        <is>
          <t>Love Mill Road / Mill Road Fringe</t>
        </is>
      </c>
      <c r="C27" s="10" t="inlineStr">
        <is>
          <t>живой</t>
        </is>
      </c>
      <c r="D27" s="32" t="inlineStr">
        <is>
          <t>отложен</t>
        </is>
      </c>
      <c r="E27" s="10" t="inlineStr">
        <is>
          <t>RSS</t>
        </is>
      </c>
      <c r="F27" s="10" t="inlineStr">
        <is>
          <t>https://www.millroadwinterfair.org/feed/</t>
        </is>
      </c>
      <c r="G27" s="10" t="inlineStr">
        <is>
          <t>Mill Road Fringe — сезонно; страница WordPress без событийных данных</t>
        </is>
      </c>
    </row>
    <row r="28">
      <c r="A28" s="10" t="inlineStr">
        <is>
          <t>S077</t>
        </is>
      </c>
      <c r="B28" s="10" t="inlineStr">
        <is>
          <t>Районные FB-группы и Nextdoor</t>
        </is>
      </c>
      <c r="C28" s="10" t="inlineStr">
        <is>
          <t>—</t>
        </is>
      </c>
      <c r="D28" s="10" t="inlineStr">
        <is>
          <t>не нужен</t>
        </is>
      </c>
      <c r="G28" s="10" t="inlineStr">
        <is>
          <t>соцсети — по правилам не парсим</t>
        </is>
      </c>
    </row>
    <row r="29">
      <c r="A29" s="10" t="inlineStr">
        <is>
          <t>S078</t>
        </is>
      </c>
      <c r="B29" s="10" t="inlineStr">
        <is>
          <t>Перекрытия дорог (county council / one.network)</t>
        </is>
      </c>
      <c r="C29" s="10" t="inlineStr">
        <is>
          <t>закрыт</t>
        </is>
      </c>
      <c r="D29" s="19" t="inlineStr">
        <is>
          <t>закрыт</t>
        </is>
      </c>
      <c r="G29" s="10" t="inlineStr">
        <is>
          <t>robots.txt запрещает</t>
        </is>
      </c>
    </row>
    <row r="30">
      <c r="A30" s="10" t="inlineStr">
        <is>
          <t>S079</t>
        </is>
      </c>
      <c r="B30" s="10" t="inlineStr">
        <is>
          <t>Greater Anglia / Thameslink / National Rail</t>
        </is>
      </c>
      <c r="C30" s="10" t="inlineStr">
        <is>
          <t>живой</t>
        </is>
      </c>
      <c r="D30" s="10" t="inlineStr">
        <is>
          <t>не нужен</t>
        </is>
      </c>
      <c r="E30" s="10" t="inlineStr">
        <is>
          <t>HTML</t>
        </is>
      </c>
      <c r="F30" s="10" t="inlineStr">
        <is>
          <t>https://www.nationalrail.co.uk</t>
        </is>
      </c>
      <c r="G30" s="10" t="inlineStr">
        <is>
          <t>не события (транспорт); вернуться к этому, если понадобится практический блок</t>
        </is>
      </c>
    </row>
    <row r="31">
      <c r="A31" s="10" t="inlineStr">
        <is>
          <t>S083</t>
        </is>
      </c>
      <c r="B31" s="10" t="inlineStr">
        <is>
          <t>«Nihao! China» Cambridge Dragon Boat Festival</t>
        </is>
      </c>
      <c r="C31" s="10" t="inlineStr">
        <is>
          <t>живой</t>
        </is>
      </c>
      <c r="D31" s="10" t="inlineStr">
        <is>
          <t>ежегодное</t>
        </is>
      </c>
      <c r="E31" s="10" t="inlineStr">
        <is>
          <t>JSON-LD</t>
        </is>
      </c>
      <c r="F31" s="10" t="inlineStr">
        <is>
          <t>https://www.eventbrite.com/e/nihao-china-cambridge-dragon-boat-festival-2026-tickets-1985873566295</t>
        </is>
      </c>
      <c r="G31" s="10" t="inlineStr">
        <is>
          <t>фестиваль в июне; билеты на Eventbrite (S008)</t>
        </is>
      </c>
    </row>
    <row r="32">
      <c r="A32" s="10" t="inlineStr">
        <is>
          <t>S084</t>
        </is>
      </c>
      <c r="B32" s="10" t="inlineStr">
        <is>
          <t>Cambridgeshire Cats (американский футбол)</t>
        </is>
      </c>
      <c r="C32" s="10" t="inlineStr">
        <is>
          <t>живой</t>
        </is>
      </c>
      <c r="D32" s="32" t="inlineStr">
        <is>
          <t>отложен</t>
        </is>
      </c>
      <c r="E32" s="10" t="inlineStr">
        <is>
          <t>RSS</t>
        </is>
      </c>
      <c r="F32" s="10" t="inlineStr">
        <is>
          <t>https://cambridgeshirecats.com/feed/</t>
        </is>
      </c>
      <c r="G32" s="10" t="inlineStr">
        <is>
          <t>сайт WordPress (новости), страницы расписания нет; сезон BAFA — весна–лето, сейчас матчей нет</t>
        </is>
      </c>
    </row>
    <row r="33">
      <c r="A33" s="10" t="inlineStr">
        <is>
          <t>S086</t>
        </is>
      </c>
      <c r="B33" s="10" t="inlineStr">
        <is>
          <t>Addenbrooke's Charitable Trust — события</t>
        </is>
      </c>
      <c r="C33" s="10" t="inlineStr">
        <is>
          <t>живой</t>
        </is>
      </c>
      <c r="D33" s="32" t="inlineStr">
        <is>
          <t>отложен</t>
        </is>
      </c>
      <c r="E33" s="10" t="inlineStr">
        <is>
          <t>RSS</t>
        </is>
      </c>
      <c r="F33" s="10" t="inlineStr">
        <is>
          <t>https://act4addenbrookes.org.uk/feed/</t>
        </is>
      </c>
      <c r="G33" s="10" t="inlineStr">
        <is>
          <t>WordPress events + RSS; благотворительные забеги и челленджи — разбор HTML</t>
        </is>
      </c>
    </row>
    <row r="34">
      <c r="A34" s="10" t="inlineStr">
        <is>
          <t>S088</t>
        </is>
      </c>
      <c r="B34" s="10" t="inlineStr">
        <is>
          <t>parkrun — Cambridge, Wimpole и др.</t>
        </is>
      </c>
      <c r="C34" s="10" t="inlineStr">
        <is>
          <t>закрыт</t>
        </is>
      </c>
      <c r="D34" s="19" t="inlineStr">
        <is>
          <t>закрыт</t>
        </is>
      </c>
      <c r="G34" s="10" t="inlineStr">
        <is>
          <t>parkrun.org.uk: robots.txt отвечает 403 — считаем запретом; регулярные забеги — статичный справочник вручную</t>
        </is>
      </c>
    </row>
    <row r="35">
      <c r="A35" s="10" t="inlineStr">
        <is>
          <t>S098</t>
        </is>
      </c>
      <c r="B35" s="10" t="inlineStr">
        <is>
          <t>South Cambridgeshire District Council</t>
        </is>
      </c>
      <c r="C35" s="10" t="inlineStr">
        <is>
          <t>живой</t>
        </is>
      </c>
      <c r="D35" s="32" t="inlineStr">
        <is>
          <t>отложен</t>
        </is>
      </c>
      <c r="E35" s="10" t="inlineStr">
        <is>
          <t>HTML</t>
        </is>
      </c>
      <c r="F35" s="10" t="inlineStr">
        <is>
          <t>https://www.scambs.gov.uk</t>
        </is>
      </c>
      <c r="G35" s="10" t="inlineStr">
        <is>
          <t>страница /events есть, событийных данных нет</t>
        </is>
      </c>
    </row>
    <row r="36">
      <c r="A36" s="10" t="inlineStr">
        <is>
          <t>S099</t>
        </is>
      </c>
      <c r="B36" s="10" t="inlineStr">
        <is>
          <t>East Cambridgeshire District Council</t>
        </is>
      </c>
      <c r="C36" s="10" t="inlineStr">
        <is>
          <t>живой</t>
        </is>
      </c>
      <c r="D36" s="32" t="inlineStr">
        <is>
          <t>отложен</t>
        </is>
      </c>
      <c r="E36" s="10" t="inlineStr">
        <is>
          <t>HTML</t>
        </is>
      </c>
      <c r="F36" s="10" t="inlineStr">
        <is>
          <t>https://eastcambs.gov.uk/</t>
        </is>
      </c>
      <c r="G36" s="10" t="inlineStr">
        <is>
          <t>Drupal, /events без структурированных данных</t>
        </is>
      </c>
    </row>
    <row r="37">
      <c r="A37" s="10" t="inlineStr">
        <is>
          <t>S100</t>
        </is>
      </c>
      <c r="B37" s="10" t="inlineStr">
        <is>
          <t>Huntingdonshire District Council</t>
        </is>
      </c>
      <c r="C37" s="10" t="inlineStr">
        <is>
          <t>живой</t>
        </is>
      </c>
      <c r="D37" s="32" t="inlineStr">
        <is>
          <t>отложен</t>
        </is>
      </c>
      <c r="E37" s="10" t="inlineStr">
        <is>
          <t>HTML</t>
        </is>
      </c>
      <c r="F37" s="10" t="inlineStr">
        <is>
          <t>https://www.huntingdonshire.gov.uk</t>
        </is>
      </c>
      <c r="G37" s="10" t="inlineStr">
        <is>
          <t>события Hinchingbrooke Country Park — через TicketSource; разбор HTML</t>
        </is>
      </c>
    </row>
    <row r="38">
      <c r="A38" s="10" t="inlineStr">
        <is>
          <t>S101</t>
        </is>
      </c>
      <c r="B38" s="10" t="inlineStr">
        <is>
          <t>Fenland District Council</t>
        </is>
      </c>
      <c r="C38" s="10" t="inlineStr">
        <is>
          <t>закрыт</t>
        </is>
      </c>
      <c r="D38" s="19" t="inlineStr">
        <is>
          <t>закрыт</t>
        </is>
      </c>
      <c r="G38" s="10" t="inlineStr">
        <is>
          <t>robots.txt отвечает 403</t>
        </is>
      </c>
    </row>
    <row r="39">
      <c r="A39" s="10" t="inlineStr">
        <is>
          <t>S102</t>
        </is>
      </c>
      <c r="B39" s="10" t="inlineStr">
        <is>
          <t>Peterborough City Council</t>
        </is>
      </c>
      <c r="C39" s="10" t="inlineStr">
        <is>
          <t>живой</t>
        </is>
      </c>
      <c r="D39" s="10" t="inlineStr">
        <is>
          <t>не нужен</t>
        </is>
      </c>
      <c r="E39" s="10" t="inlineStr">
        <is>
          <t>HTML</t>
        </is>
      </c>
      <c r="F39" s="10" t="inlineStr">
        <is>
          <t>https://www.peterborough.gov.uk</t>
        </is>
      </c>
      <c r="G39" s="10" t="inlineStr">
        <is>
          <t>раздела событий нет (404)</t>
        </is>
      </c>
    </row>
    <row r="40">
      <c r="A40" s="10" t="inlineStr">
        <is>
          <t>S103</t>
        </is>
      </c>
      <c r="B40" s="10" t="inlineStr">
        <is>
          <t>Ely City Council</t>
        </is>
      </c>
      <c r="C40" s="10" t="inlineStr">
        <is>
          <t>закрыт</t>
        </is>
      </c>
      <c r="D40" s="19" t="inlineStr">
        <is>
          <t>закрыт</t>
        </is>
      </c>
      <c r="G40" s="10" t="inlineStr">
        <is>
          <t>cityofelycouncil.org.uk: robots.txt отвечает 403</t>
        </is>
      </c>
    </row>
    <row r="41">
      <c r="A41" s="10" t="inlineStr">
        <is>
          <t>S104</t>
        </is>
      </c>
      <c r="B41" s="10" t="inlineStr">
        <is>
          <t>St Ives Town Council</t>
        </is>
      </c>
      <c r="C41" s="10" t="inlineStr">
        <is>
          <t>закрыт</t>
        </is>
      </c>
      <c r="D41" s="19" t="inlineStr">
        <is>
          <t>закрыт</t>
        </is>
      </c>
      <c r="G41" s="10" t="inlineStr">
        <is>
          <t>stivestowncouncil.gov.uk: robots.txt отвечает 403</t>
        </is>
      </c>
    </row>
    <row r="42">
      <c r="A42" s="10" t="inlineStr">
        <is>
          <t>S105</t>
        </is>
      </c>
      <c r="B42" s="10" t="inlineStr">
        <is>
          <t>St Neots Town Council</t>
        </is>
      </c>
      <c r="C42" s="10" t="inlineStr">
        <is>
          <t>живой</t>
        </is>
      </c>
      <c r="D42" s="32" t="inlineStr">
        <is>
          <t>отложен</t>
        </is>
      </c>
      <c r="E42" s="10" t="inlineStr">
        <is>
          <t>HTML</t>
        </is>
      </c>
      <c r="F42" s="10" t="inlineStr">
        <is>
          <t>https://www.stneots-tc.gov.uk</t>
        </is>
      </c>
      <c r="G42" s="10" t="inlineStr">
        <is>
          <t>WordPress council_events — разбор HTML</t>
        </is>
      </c>
    </row>
    <row r="43">
      <c r="A43" s="10" t="inlineStr">
        <is>
          <t>S106</t>
        </is>
      </c>
      <c r="B43" s="10" t="inlineStr">
        <is>
          <t>Huntingdon Town Council</t>
        </is>
      </c>
      <c r="C43" s="10" t="inlineStr">
        <is>
          <t>закрыт</t>
        </is>
      </c>
      <c r="D43" s="19" t="inlineStr">
        <is>
          <t>закрыт</t>
        </is>
      </c>
      <c r="G43" s="10" t="inlineStr">
        <is>
          <t>robots.txt отвечает 403</t>
        </is>
      </c>
    </row>
    <row r="44">
      <c r="A44" s="10" t="inlineStr">
        <is>
          <t>S107</t>
        </is>
      </c>
      <c r="B44" s="10" t="inlineStr">
        <is>
          <t>Ramsey Town Council</t>
        </is>
      </c>
      <c r="C44" s="10" t="inlineStr">
        <is>
          <t>нет событий</t>
        </is>
      </c>
      <c r="D44" s="10" t="inlineStr">
        <is>
          <t>не нужен</t>
        </is>
      </c>
      <c r="E44" s="10" t="inlineStr">
        <is>
          <t>iCal</t>
        </is>
      </c>
      <c r="F44" s="10" t="inlineStr">
        <is>
          <t>https://www.ramseytowncouncil.gov.uk/feeds/ical/638856?nodeid=3007</t>
        </is>
      </c>
      <c r="G44" s="10" t="inlineStr">
        <is>
          <t>iCal совета пуст</t>
        </is>
      </c>
    </row>
    <row r="45">
      <c r="A45" s="10" t="inlineStr">
        <is>
          <t>S108</t>
        </is>
      </c>
      <c r="B45" s="10" t="inlineStr">
        <is>
          <t>Wisbech Town Council</t>
        </is>
      </c>
      <c r="C45" s="10" t="inlineStr">
        <is>
          <t>живой</t>
        </is>
      </c>
      <c r="D45" s="33" t="inlineStr">
        <is>
          <t>подключён</t>
        </is>
      </c>
      <c r="E45" s="10" t="inlineStr">
        <is>
          <t>iCal</t>
        </is>
      </c>
      <c r="F45" s="10" t="inlineStr">
        <is>
          <t>https://www.wisbechtowncouncil.gov.uk/feeds/ical/638856?nodeid=2929</t>
        </is>
      </c>
      <c r="G45" s="10" t="inlineStr">
        <is>
          <t>iCal совета без заседаний: городские события (иллюминация, ярмарки)</t>
        </is>
      </c>
    </row>
    <row r="46">
      <c r="A46" s="10" t="inlineStr">
        <is>
          <t>S109</t>
        </is>
      </c>
      <c r="B46" s="10" t="inlineStr">
        <is>
          <t>March Town Council</t>
        </is>
      </c>
      <c r="C46" s="10" t="inlineStr">
        <is>
          <t>живой</t>
        </is>
      </c>
      <c r="D46" s="10" t="inlineStr">
        <is>
          <t>не нужен</t>
        </is>
      </c>
      <c r="E46" s="10" t="inlineStr">
        <is>
          <t>RSS</t>
        </is>
      </c>
      <c r="F46" s="10" t="inlineStr">
        <is>
          <t>https://www.marchtowncouncil.gov.uk/feed/</t>
        </is>
      </c>
      <c r="G46" s="10" t="inlineStr">
        <is>
          <t>RSS — новости и заседания</t>
        </is>
      </c>
    </row>
    <row r="47">
      <c r="A47" s="10" t="inlineStr">
        <is>
          <t>S110</t>
        </is>
      </c>
      <c r="B47" s="10" t="inlineStr">
        <is>
          <t>Chatteris Town Council</t>
        </is>
      </c>
      <c r="C47" s="10" t="inlineStr">
        <is>
          <t>живой</t>
        </is>
      </c>
      <c r="D47" s="10" t="inlineStr">
        <is>
          <t>не нужен</t>
        </is>
      </c>
      <c r="E47" s="10" t="inlineStr">
        <is>
          <t>RSS</t>
        </is>
      </c>
      <c r="F47" s="10" t="inlineStr">
        <is>
          <t>https://www.chatteristowncouncil.info/feed/</t>
        </is>
      </c>
      <c r="G47" s="10" t="inlineStr">
        <is>
          <t>RSS — новости и заседания</t>
        </is>
      </c>
    </row>
    <row r="48">
      <c r="A48" s="10" t="inlineStr">
        <is>
          <t>S111</t>
        </is>
      </c>
      <c r="B48" s="10" t="inlineStr">
        <is>
          <t>Whittlesey Town Council</t>
        </is>
      </c>
      <c r="C48" s="10" t="inlineStr">
        <is>
          <t>живой</t>
        </is>
      </c>
      <c r="D48" s="32" t="inlineStr">
        <is>
          <t>отложен</t>
        </is>
      </c>
      <c r="E48" s="10" t="inlineStr">
        <is>
          <t>RSS</t>
        </is>
      </c>
      <c r="F48" s="10" t="inlineStr">
        <is>
          <t>https://www.whittleseytowncouncil.gov.uk/feed/</t>
        </is>
      </c>
      <c r="G48" s="10" t="inlineStr">
        <is>
          <t>WordPress, раздел событий — разбор HTML</t>
        </is>
      </c>
    </row>
    <row r="49">
      <c r="A49" s="10" t="inlineStr">
        <is>
          <t>S112</t>
        </is>
      </c>
      <c r="B49" s="10" t="inlineStr">
        <is>
          <t>Soham Town Council</t>
        </is>
      </c>
      <c r="C49" s="10" t="inlineStr">
        <is>
          <t>закрыт</t>
        </is>
      </c>
      <c r="D49" s="19" t="inlineStr">
        <is>
          <t>закрыт</t>
        </is>
      </c>
      <c r="G49" s="10" t="inlineStr">
        <is>
          <t>soham-tc.gov.uk: robots.txt отвечает 403</t>
        </is>
      </c>
    </row>
    <row r="50">
      <c r="A50" s="10" t="inlineStr">
        <is>
          <t>S113</t>
        </is>
      </c>
      <c r="B50" s="10" t="inlineStr">
        <is>
          <t>Visit Ely</t>
        </is>
      </c>
      <c r="C50" s="10" t="inlineStr">
        <is>
          <t>живой</t>
        </is>
      </c>
      <c r="D50" s="32" t="inlineStr">
        <is>
          <t>отложен</t>
        </is>
      </c>
      <c r="E50" s="10" t="inlineStr">
        <is>
          <t>RSS</t>
        </is>
      </c>
      <c r="F50" s="10" t="inlineStr">
        <is>
          <t>https://www.visitely.org.uk/feed/</t>
        </is>
      </c>
      <c r="G50" s="10" t="inlineStr">
        <is>
          <t>WordPress (API закрыт, 401); события — разбор HTML</t>
        </is>
      </c>
    </row>
    <row r="51">
      <c r="A51" s="10" t="inlineStr">
        <is>
          <t>S114</t>
        </is>
      </c>
      <c r="B51" s="10" t="inlineStr">
        <is>
          <t>Visit Peterborough</t>
        </is>
      </c>
      <c r="C51" s="10" t="inlineStr">
        <is>
          <t>закрыт</t>
        </is>
      </c>
      <c r="D51" s="19" t="inlineStr">
        <is>
          <t>закрыт</t>
        </is>
      </c>
      <c r="G51" s="10" t="inlineStr">
        <is>
          <t>robots.txt отвечает 403</t>
        </is>
      </c>
    </row>
    <row r="52">
      <c r="A52" s="10" t="inlineStr">
        <is>
          <t>S115</t>
        </is>
      </c>
      <c r="B52" s="10" t="inlineStr">
        <is>
          <t>Visit Huntingdonshire</t>
        </is>
      </c>
      <c r="C52" s="10" t="inlineStr">
        <is>
          <t>живой</t>
        </is>
      </c>
      <c r="D52" s="32" t="inlineStr">
        <is>
          <t>отложен</t>
        </is>
      </c>
      <c r="E52" s="10" t="inlineStr">
        <is>
          <t>HTML</t>
        </is>
      </c>
      <c r="F52" s="10" t="inlineStr">
        <is>
          <t>https://www.discoverhuntingdonshire.co.uk</t>
        </is>
      </c>
      <c r="G52" s="10" t="inlineStr">
        <is>
          <t>cPortals, календарь HTML</t>
        </is>
      </c>
    </row>
    <row r="53">
      <c r="A53" s="10" t="inlineStr">
        <is>
          <t>S116</t>
        </is>
      </c>
      <c r="B53" s="10" t="inlineStr">
        <is>
          <t>Hunts Post</t>
        </is>
      </c>
      <c r="C53" s="10" t="inlineStr">
        <is>
          <t>живой</t>
        </is>
      </c>
      <c r="D53" s="32" t="inlineStr">
        <is>
          <t>нужно решение</t>
        </is>
      </c>
      <c r="E53" s="10" t="inlineStr">
        <is>
          <t>RSS</t>
        </is>
      </c>
      <c r="F53" s="10" t="inlineStr">
        <is>
          <t>http://www.huntspost.co.uk/things-to-do/rss/</t>
        </is>
      </c>
      <c r="G53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4">
      <c r="A54" s="10" t="inlineStr">
        <is>
          <t>S117</t>
        </is>
      </c>
      <c r="B54" s="10" t="inlineStr">
        <is>
          <t>Cambs Times</t>
        </is>
      </c>
      <c r="C54" s="10" t="inlineStr">
        <is>
          <t>живой</t>
        </is>
      </c>
      <c r="D54" s="32" t="inlineStr">
        <is>
          <t>нужно решение</t>
        </is>
      </c>
      <c r="E54" s="10" t="inlineStr">
        <is>
          <t>HTML</t>
        </is>
      </c>
      <c r="F54" s="10" t="inlineStr">
        <is>
          <t>https://www.cambstimes.co.uk</t>
        </is>
      </c>
      <c r="G54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5">
      <c r="A55" s="10" t="inlineStr">
        <is>
          <t>S118</t>
        </is>
      </c>
      <c r="B55" s="10" t="inlineStr">
        <is>
          <t>Wisbech Standard</t>
        </is>
      </c>
      <c r="C55" s="10" t="inlineStr">
        <is>
          <t>живой</t>
        </is>
      </c>
      <c r="D55" s="32" t="inlineStr">
        <is>
          <t>нужно решение</t>
        </is>
      </c>
      <c r="E55" s="10" t="inlineStr">
        <is>
          <t>HTML</t>
        </is>
      </c>
      <c r="F55" s="10" t="inlineStr">
        <is>
          <t>https://www.wisbechstandard.co.uk</t>
        </is>
      </c>
      <c r="G55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6">
      <c r="A56" s="10" t="inlineStr">
        <is>
          <t>S119</t>
        </is>
      </c>
      <c r="B56" s="10" t="inlineStr">
        <is>
          <t>Ely Standard</t>
        </is>
      </c>
      <c r="C56" s="10" t="inlineStr">
        <is>
          <t>живой</t>
        </is>
      </c>
      <c r="D56" s="32" t="inlineStr">
        <is>
          <t>нужно решение</t>
        </is>
      </c>
      <c r="E56" s="10" t="inlineStr">
        <is>
          <t>HTML</t>
        </is>
      </c>
      <c r="F56" s="10" t="inlineStr">
        <is>
          <t>https://www.elystandard.co.uk</t>
        </is>
      </c>
      <c r="G56" s="10" t="inlineStr">
        <is>
          <t>RSS /news/rss/ (50 статей, ~неделя); у четырёх газет Newsquest много общих материалов. Извлечение через Claude ≈ 200 статей в неделю ≈ $0.5–0.9/нед (Haiku) — не запускал без вашего решения</t>
        </is>
      </c>
    </row>
    <row r="57">
      <c r="A57" s="10" t="inlineStr">
        <is>
          <t>S120</t>
        </is>
      </c>
      <c r="B57" s="10" t="inlineStr">
        <is>
          <t>Peterborough Cathedral</t>
        </is>
      </c>
      <c r="C57" s="10" t="inlineStr">
        <is>
          <t>закрыт</t>
        </is>
      </c>
      <c r="D57" s="10" t="inlineStr">
        <is>
          <t>не нужен</t>
        </is>
      </c>
      <c r="G57" s="10" t="inlineStr">
        <is>
          <t>HTTP 202 (бот-защита); концерты собора есть на Ents24/Skiddle (S128/S129)</t>
        </is>
      </c>
    </row>
    <row r="58">
      <c r="A58" s="10" t="inlineStr">
        <is>
          <t>S121</t>
        </is>
      </c>
      <c r="B58" s="10" t="inlineStr">
        <is>
          <t>Key Theatre (Peterborough)</t>
        </is>
      </c>
      <c r="C58" s="10" t="inlineStr">
        <is>
          <t>живой</t>
        </is>
      </c>
      <c r="D58" s="10" t="inlineStr">
        <is>
          <t>не нужен</t>
        </is>
      </c>
      <c r="E58" s="10" t="inlineStr">
        <is>
          <t>HTML</t>
        </is>
      </c>
      <c r="F58" s="10" t="inlineStr">
        <is>
          <t>https://keytheatre-peterborough.com</t>
        </is>
      </c>
      <c r="G58" s="10" t="inlineStr">
        <is>
          <t>покрыт Ents24/Skiddle по городу (S128/S129)</t>
        </is>
      </c>
    </row>
    <row r="59">
      <c r="A59" s="10" t="inlineStr">
        <is>
          <t>S122</t>
        </is>
      </c>
      <c r="B59" s="10" t="inlineStr">
        <is>
          <t>New Theatre Peterborough</t>
        </is>
      </c>
      <c r="C59" s="10" t="inlineStr">
        <is>
          <t>живой</t>
        </is>
      </c>
      <c r="D59" s="10" t="inlineStr">
        <is>
          <t>не нужен</t>
        </is>
      </c>
      <c r="E59" s="10" t="inlineStr">
        <is>
          <t>HTML</t>
        </is>
      </c>
      <c r="F59" s="10" t="inlineStr">
        <is>
          <t>https://newtheatre-peterborough.com/</t>
        </is>
      </c>
      <c r="G59" s="10" t="inlineStr">
        <is>
          <t>покрыт Ents24 по городу (S128)</t>
        </is>
      </c>
    </row>
    <row r="60">
      <c r="A60" s="10" t="inlineStr">
        <is>
          <t>S123</t>
        </is>
      </c>
      <c r="B60" s="10" t="inlineStr">
        <is>
          <t>Peterborough United — домашние матчи</t>
        </is>
      </c>
      <c r="C60" s="10" t="inlineStr">
        <is>
          <t>живой</t>
        </is>
      </c>
      <c r="D60" s="33" t="inlineStr">
        <is>
          <t>подключён</t>
        </is>
      </c>
      <c r="E60" s="10" t="inlineStr">
        <is>
          <t>iCal</t>
        </is>
      </c>
      <c r="F60" s="10" t="inlineStr">
        <is>
          <t>https://outlook.live.com/owa/?rru=addsubscription&amp;name=Peterborough+United+FC&amp;url=webcal://ics.fixtur.es/v2/home/peterborough-united-fc.ics</t>
        </is>
      </c>
      <c r="G60" s="10" t="inlineStr">
        <is>
          <t>iCal fixtur.es, домашние матчи</t>
        </is>
      </c>
    </row>
    <row r="61">
      <c r="A61" s="10" t="inlineStr">
        <is>
          <t>S124</t>
        </is>
      </c>
      <c r="B61" s="10" t="inlineStr">
        <is>
          <t>Royston — Town Council / события</t>
        </is>
      </c>
      <c r="C61" s="10" t="inlineStr">
        <is>
          <t>живой</t>
        </is>
      </c>
      <c r="D61" s="10" t="inlineStr">
        <is>
          <t>не нужен</t>
        </is>
      </c>
      <c r="E61" s="10" t="inlineStr">
        <is>
          <t>RSS</t>
        </is>
      </c>
      <c r="F61" s="10" t="inlineStr">
        <is>
          <t>https://www.roystontown.uk/feed/</t>
        </is>
      </c>
      <c r="G61" s="10" t="inlineStr">
        <is>
          <t>Royston — через Skiddle/Ents24 по городу (S128/S129)</t>
        </is>
      </c>
    </row>
    <row r="62">
      <c r="A62" s="10" t="inlineStr">
        <is>
          <t>S125</t>
        </is>
      </c>
      <c r="B62" s="10" t="inlineStr">
        <is>
          <t>Haverhill — Arts Centre / Town Council</t>
        </is>
      </c>
      <c r="C62" s="10" t="inlineStr">
        <is>
          <t>живой</t>
        </is>
      </c>
      <c r="D62" s="10" t="inlineStr">
        <is>
          <t>не нужен</t>
        </is>
      </c>
      <c r="E62" s="10" t="inlineStr">
        <is>
          <t>RSS</t>
        </is>
      </c>
      <c r="F62" s="10" t="inlineStr">
        <is>
          <t>https://haverhillartscentre.co.uk/haverhill-arts-centre-homepage/feed/</t>
        </is>
      </c>
      <c r="G62" s="10" t="inlineStr">
        <is>
          <t>Haverhill Arts Centre — через Ents24 по городу (S128)</t>
        </is>
      </c>
    </row>
    <row r="63">
      <c r="A63" s="10" t="inlineStr">
        <is>
          <t>S126</t>
        </is>
      </c>
      <c r="B63" s="10" t="inlineStr">
        <is>
          <t>Bury St Edmunds — Apex / Theatre Royal / Visit Bury</t>
        </is>
      </c>
      <c r="C63" s="10" t="inlineStr">
        <is>
          <t>живой</t>
        </is>
      </c>
      <c r="D63" s="10" t="inlineStr">
        <is>
          <t>не нужен</t>
        </is>
      </c>
      <c r="E63" s="10" t="inlineStr">
        <is>
          <t>RSS</t>
        </is>
      </c>
      <c r="F63" s="10" t="inlineStr">
        <is>
          <t>https://theatreroyal.org/feed/</t>
        </is>
      </c>
      <c r="G63" s="10" t="inlineStr">
        <is>
          <t>Apex и Theatre Royal — через Ents24 по городу (S128)</t>
        </is>
      </c>
    </row>
    <row r="64">
      <c r="A64" s="10" t="inlineStr">
        <is>
          <t>S127</t>
        </is>
      </c>
      <c r="B64" s="10" t="inlineStr">
        <is>
          <t>Saffron Walden / Newmarket — Town Councils</t>
        </is>
      </c>
      <c r="C64" s="10" t="inlineStr">
        <is>
          <t>частично</t>
        </is>
      </c>
      <c r="D64" s="19" t="inlineStr">
        <is>
          <t>закрыт</t>
        </is>
      </c>
      <c r="E64" s="10" t="inlineStr">
        <is>
          <t>iCal</t>
        </is>
      </c>
      <c r="F64" s="10" t="inlineStr">
        <is>
          <t>https://www.newmarket.gov.uk/events/?ical=1</t>
        </is>
      </c>
      <c r="G64" s="10" t="inlineStr">
        <is>
          <t>saffronwalden.gov.uk — 403; newmarket.gov.uk — robots.txt недоступен</t>
        </is>
      </c>
    </row>
    <row r="65">
      <c r="A65" s="10" t="inlineStr">
        <is>
          <t>S128</t>
        </is>
      </c>
      <c r="B65" s="10" t="inlineStr">
        <is>
          <t>Ents24 — города зоны</t>
        </is>
      </c>
      <c r="C65" s="10" t="inlineStr">
        <is>
          <t>живой</t>
        </is>
      </c>
      <c r="D65" s="33" t="inlineStr">
        <is>
          <t>подключён</t>
        </is>
      </c>
      <c r="E65" s="10" t="inlineStr">
        <is>
          <t>JSON-LD</t>
        </is>
      </c>
      <c r="F65" s="10" t="inlineStr">
        <is>
          <t>https://www.ents24.com/whatson/peterborough</t>
        </is>
      </c>
      <c r="G65" s="10" t="inlineStr">
        <is>
          <t>Ents24: 12 страниц городов зоны (расширение S006)</t>
        </is>
      </c>
    </row>
    <row r="66">
      <c r="A66" s="10" t="inlineStr">
        <is>
          <t>S129</t>
        </is>
      </c>
      <c r="B66" s="10" t="inlineStr">
        <is>
          <t>Skiddle — города зоны</t>
        </is>
      </c>
      <c r="C66" s="10" t="inlineStr">
        <is>
          <t>живой</t>
        </is>
      </c>
      <c r="D66" s="33" t="inlineStr">
        <is>
          <t>подключён</t>
        </is>
      </c>
      <c r="E66" s="10" t="inlineStr">
        <is>
          <t>JSON-LD</t>
        </is>
      </c>
      <c r="F66" s="10" t="inlineStr">
        <is>
          <t>https://www.skiddle.com/whats-on/Peterborough/</t>
        </is>
      </c>
      <c r="G66" s="10" t="inlineStr">
        <is>
          <t>Skiddle: 12 страниц городов зоны (расширение S007)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8" customWidth="1" style="11" min="1" max="1"/>
    <col width="45" customWidth="1" style="11" min="2" max="2"/>
    <col width="28" customWidth="1" style="11" min="3" max="3"/>
    <col width="12" customWidth="1" style="11" min="4" max="4"/>
    <col width="14" customWidth="1" style="11" min="5" max="5"/>
    <col width="18" customWidth="1" style="11" min="6" max="6"/>
    <col width="100" customWidth="1" style="11" min="7" max="7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Блок</t>
        </is>
      </c>
      <c r="D1" s="20" t="inlineStr">
        <is>
          <t>Состояние</t>
        </is>
      </c>
      <c r="E1" s="20" t="inlineStr">
        <is>
          <t>Решение</t>
        </is>
      </c>
      <c r="F1" s="20" t="inlineStr">
        <is>
          <t>Новых уникальных (будущие, в зоне)</t>
        </is>
      </c>
      <c r="G1" s="20" t="inlineStr">
        <is>
          <t>Примечание</t>
        </is>
      </c>
    </row>
    <row r="2">
      <c r="A2" s="10" t="inlineStr">
        <is>
          <t>S001</t>
        </is>
      </c>
      <c r="B2" s="10" t="inlineStr">
        <is>
          <t>Visit Cambridge — events</t>
        </is>
      </c>
      <c r="C2" s="10" t="inlineStr">
        <is>
          <t>HTML-источники P1</t>
        </is>
      </c>
      <c r="D2" s="10" t="inlineStr">
        <is>
          <t>живой</t>
        </is>
      </c>
      <c r="E2" s="33" t="inlineStr">
        <is>
          <t>подключён</t>
        </is>
      </c>
      <c r="F2" s="10" t="n">
        <v>83</v>
      </c>
      <c r="G2" s="10" t="inlineStr">
        <is>
          <t>7 разделов /event-categories/ (постранично) + страницы событий; раздел family-friendly → категория family</t>
        </is>
      </c>
    </row>
    <row r="3">
      <c r="A3" s="10" t="inlineStr">
        <is>
          <t>S012</t>
        </is>
      </c>
      <c r="B3" s="10" t="inlineStr">
        <is>
          <t>Cambridge Junction</t>
        </is>
      </c>
      <c r="C3" s="10" t="inlineStr">
        <is>
          <t>HTML-источники P1</t>
        </is>
      </c>
      <c r="D3" s="10" t="inlineStr">
        <is>
          <t>живой</t>
        </is>
      </c>
      <c r="E3" s="33" t="inlineStr">
        <is>
          <t>подключён</t>
        </is>
      </c>
      <c r="F3" s="10" t="n">
        <v>239</v>
      </c>
      <c r="G3" s="10" t="inlineStr">
        <is>
          <t>HTML /whats-on/page/N + страницы событий («Event Information»: дата, время, цена); кэш страниц</t>
        </is>
      </c>
    </row>
    <row r="4">
      <c r="A4" s="10" t="inlineStr">
        <is>
          <t>S026</t>
        </is>
      </c>
      <c r="B4" s="10" t="inlineStr">
        <is>
          <t>Chariots of Fire</t>
        </is>
      </c>
      <c r="C4" s="10" t="inlineStr">
        <is>
          <t>HTML-источники P1</t>
        </is>
      </c>
      <c r="D4" s="10" t="inlineStr">
        <is>
          <t>живой</t>
        </is>
      </c>
      <c r="E4" s="10" t="inlineStr">
        <is>
          <t>ежегодное</t>
        </is>
      </c>
      <c r="F4" s="10" t="inlineStr">
        <is>
          <t>—</t>
        </is>
      </c>
      <c r="G4" s="10" t="inlineStr">
        <is>
          <t>через recurring_events (R11)</t>
        </is>
      </c>
    </row>
    <row r="5">
      <c r="A5" s="10" t="inlineStr">
        <is>
          <t>S028</t>
        </is>
      </c>
      <c r="B5" s="10" t="inlineStr">
        <is>
          <t>Cambridge Half Marathon</t>
        </is>
      </c>
      <c r="C5" s="10" t="inlineStr">
        <is>
          <t>HTML-источники P1</t>
        </is>
      </c>
      <c r="D5" s="10" t="inlineStr">
        <is>
          <t>живой</t>
        </is>
      </c>
      <c r="E5" s="10" t="inlineStr">
        <is>
          <t>ежегодное</t>
        </is>
      </c>
      <c r="F5" s="10" t="inlineStr">
        <is>
          <t>—</t>
        </is>
      </c>
      <c r="G5" s="10" t="inlineStr">
        <is>
          <t>через recurring_events (R03)</t>
        </is>
      </c>
    </row>
    <row r="6">
      <c r="A6" s="10" t="inlineStr">
        <is>
          <t>S030</t>
        </is>
      </c>
      <c r="B6" s="10" t="inlineStr">
        <is>
          <t>Cambridge Festival (университет)</t>
        </is>
      </c>
      <c r="C6" s="10" t="inlineStr">
        <is>
          <t>HTML-источники P1</t>
        </is>
      </c>
      <c r="D6" s="10" t="inlineStr">
        <is>
          <t>живой</t>
        </is>
      </c>
      <c r="E6" s="10" t="inlineStr">
        <is>
          <t>ежегодное</t>
        </is>
      </c>
      <c r="F6" s="10" t="inlineStr">
        <is>
          <t>—</t>
        </is>
      </c>
      <c r="G6" s="10" t="inlineStr">
        <is>
          <t>Cambridge Festival — весна; дата через recurring_events (R04); коллектор программы — перед фестивалем (март)</t>
        </is>
      </c>
    </row>
    <row r="7">
      <c r="A7" s="10" t="inlineStr">
        <is>
          <t>S031</t>
        </is>
      </c>
      <c r="B7" s="10" t="inlineStr">
        <is>
          <t>Cambridge Folk Festival</t>
        </is>
      </c>
      <c r="C7" s="10" t="inlineStr">
        <is>
          <t>HTML-источники P1</t>
        </is>
      </c>
      <c r="D7" s="10" t="inlineStr">
        <is>
          <t>живой</t>
        </is>
      </c>
      <c r="E7" s="10" t="inlineStr">
        <is>
          <t>ежегодное</t>
        </is>
      </c>
      <c r="F7" s="10" t="inlineStr">
        <is>
          <t>—</t>
        </is>
      </c>
      <c r="G7" s="10" t="inlineStr">
        <is>
          <t>через recurring_events (R09)</t>
        </is>
      </c>
    </row>
    <row r="8">
      <c r="A8" s="10" t="inlineStr">
        <is>
          <t>S041</t>
        </is>
      </c>
      <c r="B8" s="10" t="inlineStr">
        <is>
          <t>Cambridge Arts Theatre</t>
        </is>
      </c>
      <c r="C8" s="10" t="inlineStr">
        <is>
          <t>HTML-источники P1</t>
        </is>
      </c>
      <c r="D8" s="10" t="inlineStr">
        <is>
          <t>закрыт</t>
        </is>
      </c>
      <c r="E8" s="10" t="inlineStr">
        <is>
          <t>покрыт</t>
        </is>
      </c>
      <c r="F8" s="10" t="inlineStr">
        <is>
          <t>—</t>
        </is>
      </c>
      <c r="G8" s="10" t="inlineStr">
        <is>
          <t>защита от ботов; афиша — через Ents24 (S006)</t>
        </is>
      </c>
    </row>
    <row r="9">
      <c r="A9" s="10" t="inlineStr">
        <is>
          <t>S045</t>
        </is>
      </c>
      <c r="B9" s="10" t="inlineStr">
        <is>
          <t>Arts Picturehouse</t>
        </is>
      </c>
      <c r="C9" s="10" t="inlineStr">
        <is>
          <t>HTML-источники P1</t>
        </is>
      </c>
      <c r="D9" s="10" t="inlineStr">
        <is>
          <t>живой</t>
        </is>
      </c>
      <c r="E9" s="10" t="inlineStr">
        <is>
          <t>не нужен</t>
        </is>
      </c>
      <c r="F9" s="10" t="inlineStr">
        <is>
          <t>—</t>
        </is>
      </c>
      <c r="G9" s="10" t="inlineStr">
        <is>
          <t>сеансы — только через внутренний AJAX с XSRF-токеном сессии (не используем); обычные сеансы — не события выпуска; спецпоказы приходят через Visit Cambridge, статьи и Cambridge Film Festival (recurring R17)</t>
        </is>
      </c>
    </row>
    <row r="10">
      <c r="A10" s="10" t="inlineStr">
        <is>
          <t>S048</t>
        </is>
      </c>
      <c r="B10" s="10" t="inlineStr">
        <is>
          <t>University of Cambridge — What's On</t>
        </is>
      </c>
      <c r="C10" s="10" t="inlineStr">
        <is>
          <t>HTML-источники P1</t>
        </is>
      </c>
      <c r="D10" s="10" t="inlineStr">
        <is>
          <t>живой</t>
        </is>
      </c>
      <c r="E10" s="33" t="inlineStr">
        <is>
          <t>подключён</t>
        </is>
      </c>
      <c r="F10" s="10" t="n">
        <v>41</v>
      </c>
      <c r="G10" s="10" t="inlineStr">
        <is>
          <t>недельные страницы admin.cam.ac.uk/whatson (3 недели) + раздел Families; iCal/RSS на webservices закрыты robots.txt — не используем</t>
        </is>
      </c>
    </row>
    <row r="11">
      <c r="A11" s="10" t="inlineStr">
        <is>
          <t>S052</t>
        </is>
      </c>
      <c r="B11" s="10" t="inlineStr">
        <is>
          <t>University of Cambridge Museums (сводный)</t>
        </is>
      </c>
      <c r="C11" s="10" t="inlineStr">
        <is>
          <t>HTML-источники P1</t>
        </is>
      </c>
      <c r="D11" s="10" t="inlineStr">
        <is>
          <t>живой</t>
        </is>
      </c>
      <c r="E11" s="33" t="inlineStr">
        <is>
          <t>подключён</t>
        </is>
      </c>
      <c r="F11" s="10" t="n">
        <v>87</v>
      </c>
      <c r="G11" s="10" t="inlineStr">
        <is>
          <t>сводная афиша 8 музеев (HTML, один запрос на весь список) + 4 запроса по фильтрам «для кого»/«тип» → категория family по разметке музеев</t>
        </is>
      </c>
    </row>
    <row r="12">
      <c r="A12" s="10" t="inlineStr">
        <is>
          <t>S056</t>
        </is>
      </c>
      <c r="B12" s="10" t="inlineStr">
        <is>
          <t>Семейные программы музеев</t>
        </is>
      </c>
      <c r="C12" s="10" t="inlineStr">
        <is>
          <t>HTML-источники P1</t>
        </is>
      </c>
      <c r="D12" s="10" t="inlineStr">
        <is>
          <t>—</t>
        </is>
      </c>
      <c r="E12" s="10" t="inlineStr">
        <is>
          <t>производный</t>
        </is>
      </c>
      <c r="F12" s="10" t="inlineStr">
        <is>
          <t>—</t>
        </is>
      </c>
      <c r="G12" s="10" t="inlineStr">
        <is>
          <t>тег «дети» из музейных источников — теперь по разметке S052/S048/S001 (категория family) и KIDS_RE</t>
        </is>
      </c>
    </row>
    <row r="13">
      <c r="A13" s="10" t="inlineStr">
        <is>
          <t>S062</t>
        </is>
      </c>
      <c r="B13" s="10" t="inlineStr">
        <is>
          <t>Комедия на Corn Exchange / Junction / ADC</t>
        </is>
      </c>
      <c r="C13" s="10" t="inlineStr">
        <is>
          <t>HTML-источники P1</t>
        </is>
      </c>
      <c r="D13" s="10" t="inlineStr">
        <is>
          <t>—</t>
        </is>
      </c>
      <c r="E13" s="10" t="inlineStr">
        <is>
          <t>производный</t>
        </is>
      </c>
      <c r="F13" s="10" t="inlineStr">
        <is>
          <t>—</t>
        </is>
      </c>
      <c r="G13" s="10" t="inlineStr">
        <is>
          <t>тег «комедия» из S011, S012, S042</t>
        </is>
      </c>
    </row>
    <row r="14">
      <c r="A14" s="10" t="inlineStr">
        <is>
          <t>S065</t>
        </is>
      </c>
      <c r="B14" s="10" t="inlineStr">
        <is>
          <t>Open Cambridge</t>
        </is>
      </c>
      <c r="C14" s="10" t="inlineStr">
        <is>
          <t>HTML-источники P1</t>
        </is>
      </c>
      <c r="D14" s="10" t="inlineStr">
        <is>
          <t>живой</t>
        </is>
      </c>
      <c r="E14" s="10" t="inlineStr">
        <is>
          <t>ежегодное</t>
        </is>
      </c>
      <c r="F14" s="10" t="inlineStr">
        <is>
          <t>—</t>
        </is>
      </c>
      <c r="G14" s="10" t="inlineStr">
        <is>
          <t>через recurring_events (R12)</t>
        </is>
      </c>
    </row>
    <row r="15">
      <c r="A15" s="10" t="inlineStr">
        <is>
          <t>S069</t>
        </is>
      </c>
      <c r="B15" s="10" t="inlineStr">
        <is>
          <t>Cambridge University Botanic Garden</t>
        </is>
      </c>
      <c r="C15" s="10" t="inlineStr">
        <is>
          <t>HTML-источники P1</t>
        </is>
      </c>
      <c r="D15" s="10" t="inlineStr">
        <is>
          <t>живой</t>
        </is>
      </c>
      <c r="E15" s="33" t="inlineStr">
        <is>
          <t>подключён</t>
        </is>
      </c>
      <c r="F15" s="10" t="n">
        <v>17</v>
      </c>
      <c r="G15" s="10" t="inlineStr">
        <is>
          <t>HTML /whats-on/ + страницы событий; часть событий есть и в S052</t>
        </is>
      </c>
    </row>
    <row r="16">
      <c r="A16" s="10" t="inlineStr">
        <is>
          <t>S070</t>
        </is>
      </c>
      <c r="B16" s="10" t="inlineStr">
        <is>
          <t>National Trust: Wimpole, Anglesey Abbey, Wicken Fen</t>
        </is>
      </c>
      <c r="C16" s="10" t="inlineStr">
        <is>
          <t>HTML-источники P1</t>
        </is>
      </c>
      <c r="D16" s="10" t="inlineStr">
        <is>
          <t>закрыт</t>
        </is>
      </c>
      <c r="E16" s="32" t="inlineStr">
        <is>
          <t>вручную</t>
        </is>
      </c>
      <c r="F16" s="10" t="inlineStr">
        <is>
          <t>—</t>
        </is>
      </c>
      <c r="G16" s="10" t="inlineStr">
        <is>
          <t>National Trust — защита Radware; ручной сезонный календарь</t>
        </is>
      </c>
    </row>
    <row r="17">
      <c r="A17" s="10" t="inlineStr">
        <is>
          <t>S081</t>
        </is>
      </c>
      <c r="B17" s="10" t="inlineStr">
        <is>
          <t>Thriplow Daffodil Weekend</t>
        </is>
      </c>
      <c r="C17" s="10" t="inlineStr">
        <is>
          <t>HTML-источники P1</t>
        </is>
      </c>
      <c r="D17" s="10" t="inlineStr">
        <is>
          <t>живой</t>
        </is>
      </c>
      <c r="E17" s="10" t="inlineStr">
        <is>
          <t>ежегодное</t>
        </is>
      </c>
      <c r="F17" s="10" t="inlineStr">
        <is>
          <t>—</t>
        </is>
      </c>
      <c r="G17" s="10" t="inlineStr">
        <is>
          <t>через recurring_events (R02)</t>
        </is>
      </c>
    </row>
    <row r="18">
      <c r="A18" s="10" t="inlineStr">
        <is>
          <t>S082</t>
        </is>
      </c>
      <c r="B18" s="10" t="inlineStr">
        <is>
          <t>Cambridge Dragon Boat Festival (ACT)</t>
        </is>
      </c>
      <c r="C18" s="10" t="inlineStr">
        <is>
          <t>HTML-источники P1</t>
        </is>
      </c>
      <c r="D18" s="10" t="inlineStr">
        <is>
          <t>живой</t>
        </is>
      </c>
      <c r="E18" s="10" t="inlineStr">
        <is>
          <t>ежегодное</t>
        </is>
      </c>
      <c r="F18" s="10" t="inlineStr">
        <is>
          <t>—</t>
        </is>
      </c>
      <c r="G18" s="10" t="inlineStr">
        <is>
          <t>через recurring_events (R10)</t>
        </is>
      </c>
    </row>
    <row r="19">
      <c r="A19" s="10" t="inlineStr">
        <is>
          <t>S089</t>
        </is>
      </c>
      <c r="B19" s="10" t="inlineStr">
        <is>
          <t>Town and Gown 10k</t>
        </is>
      </c>
      <c r="C19" s="10" t="inlineStr">
        <is>
          <t>HTML-источники P1</t>
        </is>
      </c>
      <c r="D19" s="10" t="inlineStr">
        <is>
          <t>закрыт</t>
        </is>
      </c>
      <c r="E19" s="10" t="inlineStr">
        <is>
          <t>ежегодное</t>
        </is>
      </c>
      <c r="F19" s="10" t="inlineStr">
        <is>
          <t>—</t>
        </is>
      </c>
      <c r="G19" s="10" t="inlineStr">
        <is>
          <t>Cloudflare; через статьи и recurring_events (R14, вручную)</t>
        </is>
      </c>
    </row>
    <row r="20">
      <c r="A20" s="10" t="inlineStr">
        <is>
          <t>S090</t>
        </is>
      </c>
      <c r="B20" s="10" t="inlineStr">
        <is>
          <t>DesignMyNight — Cambridge</t>
        </is>
      </c>
      <c r="C20" s="10" t="inlineStr">
        <is>
          <t>HTML-источники P1</t>
        </is>
      </c>
      <c r="D20" s="10" t="inlineStr">
        <is>
          <t>закрыт</t>
        </is>
      </c>
      <c r="E20" s="10" t="inlineStr">
        <is>
          <t>не собираем</t>
        </is>
      </c>
      <c r="F20" s="10" t="inlineStr">
        <is>
          <t>—</t>
        </is>
      </c>
      <c r="G20" s="10" t="inlineStr">
        <is>
          <t>robots.txt запрещает раздел событий</t>
        </is>
      </c>
    </row>
    <row r="21">
      <c r="A21" s="10" t="inlineStr">
        <is>
          <t>S054</t>
        </is>
      </c>
      <c r="B21" s="10" t="inlineStr">
        <is>
          <t>Cambridge Science Centre</t>
        </is>
      </c>
      <c r="C21" s="10" t="inlineStr">
        <is>
          <t>Семейные источники</t>
        </is>
      </c>
      <c r="D21" s="10" t="inlineStr">
        <is>
          <t>живой</t>
        </is>
      </c>
      <c r="E21" s="33" t="inlineStr">
        <is>
          <t>подключён</t>
        </is>
      </c>
      <c r="F21" s="10" t="n">
        <v>9</v>
      </c>
      <c r="G21" s="10" t="inlineStr">
        <is>
          <t>ссылки — из RSS /whats-on/feed/, дата и время — со страницы события; все события — семейные (family)</t>
        </is>
      </c>
    </row>
    <row r="22">
      <c r="A22" s="10" t="inlineStr">
        <is>
          <t>S055</t>
        </is>
      </c>
      <c r="B22" s="10" t="inlineStr">
        <is>
          <t>Библиотеки Cambridgeshire</t>
        </is>
      </c>
      <c r="C22" s="10" t="inlineStr">
        <is>
          <t>Семейные источники</t>
        </is>
      </c>
      <c r="D22" s="10" t="inlineStr">
        <is>
          <t>живой</t>
        </is>
      </c>
      <c r="E22" s="33" t="inlineStr">
        <is>
          <t>подключён</t>
        </is>
      </c>
      <c r="F22" s="10" t="n">
        <v>12</v>
      </c>
      <c r="G22" s="10" t="inlineStr">
        <is>
          <t>события библиотек — на Eventbrite (страница организатора со страницы совета), JSON-LD страниц событий; серии помечены «recurring series»</t>
        </is>
      </c>
    </row>
    <row r="23">
      <c r="A23" s="10" t="inlineStr">
        <is>
          <t>S100</t>
        </is>
      </c>
      <c r="B23" s="10" t="inlineStr">
        <is>
          <t>Huntingdonshire District Council</t>
        </is>
      </c>
      <c r="C23" s="10" t="inlineStr">
        <is>
          <t>Семейные источники</t>
        </is>
      </c>
      <c r="D23" s="10" t="inlineStr">
        <is>
          <t>закрыт</t>
        </is>
      </c>
      <c r="E23" s="19" t="inlineStr">
        <is>
          <t>закрыт</t>
        </is>
      </c>
      <c r="F23" s="10" t="inlineStr">
        <is>
          <t>—</t>
        </is>
      </c>
      <c r="G23" s="10" t="inlineStr">
        <is>
          <t>Hinchingbrooke Country Park: события только на TicketSource (robots.txt отвечает 403 — считаем запретом) и в Facebook (не парсим); страница совета без дат — проверить на этапе 6b через поиск</t>
        </is>
      </c>
    </row>
    <row r="24">
      <c r="A24" s="10" t="inlineStr">
        <is>
          <t>S130</t>
        </is>
      </c>
      <c r="B24" s="10" t="inlineStr">
        <is>
          <t>Museum of Cambridge</t>
        </is>
      </c>
      <c r="C24" s="10" t="inlineStr">
        <is>
          <t>Семейные источники</t>
        </is>
      </c>
      <c r="D24" s="10" t="inlineStr">
        <is>
          <t>живой</t>
        </is>
      </c>
      <c r="E24" s="33" t="inlineStr">
        <is>
          <t>подключён</t>
        </is>
      </c>
      <c r="F24" s="10" t="n">
        <v>7</v>
      </c>
      <c r="G24" s="10" t="inlineStr">
        <is>
          <t>Museum of Cambridge — REST The Events Calendar</t>
        </is>
      </c>
    </row>
    <row r="25">
      <c r="A25" s="10" t="inlineStr">
        <is>
          <t>S131</t>
        </is>
      </c>
      <c r="B25" s="10" t="inlineStr">
        <is>
          <t>Cambridge Past, Present &amp; Future (Wandlebury, Leper Chapel, Hinxton Watermill…)</t>
        </is>
      </c>
      <c r="C25" s="10" t="inlineStr">
        <is>
          <t>Семейные источники</t>
        </is>
      </c>
      <c r="D25" s="10" t="inlineStr">
        <is>
          <t>живой</t>
        </is>
      </c>
      <c r="E25" s="33" t="inlineStr">
        <is>
          <t>подключён</t>
        </is>
      </c>
      <c r="F25" s="10" t="n">
        <v>106</v>
      </c>
      <c r="G25" s="10" t="inlineStr">
        <is>
          <t>Cambridge Past, Present &amp; Future: Wandlebury, Leper Chapel, Hinxton Watermill, Coton, Bourn Windmill, Grantchester — список /events-list/ (Eventin), один запрос</t>
        </is>
      </c>
    </row>
    <row r="26">
      <c r="A26" s="10" t="inlineStr">
        <is>
          <t>S134</t>
        </is>
      </c>
      <c r="B26" s="10" t="inlineStr">
        <is>
          <t>Centre for Computing History</t>
        </is>
      </c>
      <c r="C26" s="10" t="inlineStr">
        <is>
          <t>Семейные источники</t>
        </is>
      </c>
      <c r="D26" s="10" t="inlineStr">
        <is>
          <t>живой</t>
        </is>
      </c>
      <c r="E26" s="33" t="inlineStr">
        <is>
          <t>подключён</t>
        </is>
      </c>
      <c r="F26" s="10" t="n">
        <v>6</v>
      </c>
      <c r="G26" s="10" t="inlineStr">
        <is>
          <t>Centre for Computing History — страница What's On, дата и название в ссылке</t>
        </is>
      </c>
    </row>
    <row r="27">
      <c r="A27" s="10" t="inlineStr">
        <is>
          <t>S132</t>
        </is>
      </c>
      <c r="B27" s="10" t="inlineStr">
        <is>
          <t>Milton Country Park</t>
        </is>
      </c>
      <c r="C27" s="10" t="inlineStr">
        <is>
          <t>Семейные места и аттракционы</t>
        </is>
      </c>
      <c r="D27" s="10" t="inlineStr">
        <is>
          <t>живой</t>
        </is>
      </c>
      <c r="E27" s="33" t="inlineStr">
        <is>
          <t>подключён</t>
        </is>
      </c>
      <c r="F27" s="10" t="n">
        <v>7</v>
      </c>
      <c r="G27" s="10" t="inlineStr">
        <is>
          <t>Milton Country Park (Wix): список /events — название, день, место</t>
        </is>
      </c>
    </row>
    <row r="28">
      <c r="A28" s="10" t="inlineStr">
        <is>
          <t>S133</t>
        </is>
      </c>
      <c r="B28" s="10" t="inlineStr">
        <is>
          <t>Nene Park / Ferry Meadows</t>
        </is>
      </c>
      <c r="C28" s="10" t="inlineStr">
        <is>
          <t>Семейные места и аттракционы</t>
        </is>
      </c>
      <c r="D28" s="10" t="inlineStr">
        <is>
          <t>закрыт</t>
        </is>
      </c>
      <c r="E28" s="32" t="inlineStr">
        <is>
          <t>отложен</t>
        </is>
      </c>
      <c r="F28" s="10" t="inlineStr">
        <is>
          <t>—</t>
        </is>
      </c>
      <c r="G28" s="10" t="inlineStr">
        <is>
          <t>Nene Park / Ferry Meadows: при проверке JSON-LD Event на /events/ (24 события), но при сборе сайт начал обрывать соединение и отвечать 403 — защита от ботов, не обходим; коллектор написан (family_misc.NenePark), из прогона убран — повторить позже / этап 6b</t>
        </is>
      </c>
    </row>
    <row r="29">
      <c r="A29" s="10" t="inlineStr">
        <is>
          <t>S135</t>
        </is>
      </c>
      <c r="B29" s="10" t="inlineStr">
        <is>
          <t>Shepreth Wildlife Park</t>
        </is>
      </c>
      <c r="C29" s="10" t="inlineStr">
        <is>
          <t>Семейные места и аттракционы</t>
        </is>
      </c>
      <c r="D29" s="10" t="inlineStr">
        <is>
          <t>закрыт</t>
        </is>
      </c>
      <c r="E29" s="19" t="inlineStr">
        <is>
          <t>закрыт</t>
        </is>
      </c>
      <c r="F29" s="10" t="inlineStr">
        <is>
          <t>—</t>
        </is>
      </c>
      <c r="G29" s="10" t="inlineStr">
        <is>
          <t>Shepreth Wildlife Park: сайт отвечает 403 / обрывает соединение — не обходим; этап 6b</t>
        </is>
      </c>
    </row>
    <row r="30">
      <c r="A30" s="10" t="inlineStr">
        <is>
          <t>S136</t>
        </is>
      </c>
      <c r="B30" s="10" t="inlineStr">
        <is>
          <t>Linton Zoo</t>
        </is>
      </c>
      <c r="C30" s="10" t="inlineStr">
        <is>
          <t>Семейные места и аттракционы</t>
        </is>
      </c>
      <c r="D30" s="10" t="inlineStr">
        <is>
          <t>живой</t>
        </is>
      </c>
      <c r="E30" s="10" t="inlineStr">
        <is>
          <t>не нужен</t>
        </is>
      </c>
      <c r="F30" s="10" t="inlineStr">
        <is>
          <t>—</t>
        </is>
      </c>
      <c r="G30" s="10" t="inlineStr">
        <is>
          <t>Linton Zoo: на сайте и в DigiTickets — только входные билеты, событий нет; сезонные события — через статьи</t>
        </is>
      </c>
    </row>
    <row r="31">
      <c r="A31" s="10" t="inlineStr">
        <is>
          <t>S137</t>
        </is>
      </c>
      <c r="B31" s="10" t="inlineStr">
        <is>
          <t>Hamerton Zoo Park</t>
        </is>
      </c>
      <c r="C31" s="10" t="inlineStr">
        <is>
          <t>Семейные места и аттракционы</t>
        </is>
      </c>
      <c r="D31" s="10" t="inlineStr">
        <is>
          <t>закрыт</t>
        </is>
      </c>
      <c r="E31" s="19" t="inlineStr">
        <is>
          <t>закрыт</t>
        </is>
      </c>
      <c r="F31" s="10" t="inlineStr">
        <is>
          <t>—</t>
        </is>
      </c>
      <c r="G31" s="10" t="inlineStr">
        <is>
          <t>Hamerton Zoo Park: 429 на robots.txt и главную — считаем запретом, повторить на этапе 6b</t>
        </is>
      </c>
    </row>
    <row r="32">
      <c r="A32" s="10" t="inlineStr">
        <is>
          <t>S138</t>
        </is>
      </c>
      <c r="B32" s="10" t="inlineStr">
        <is>
          <t>Wimpole Home Farm (National Trust)</t>
        </is>
      </c>
      <c r="C32" s="10" t="inlineStr">
        <is>
          <t>Семейные места и аттракционы</t>
        </is>
      </c>
      <c r="D32" s="10" t="inlineStr">
        <is>
          <t>закрыт</t>
        </is>
      </c>
      <c r="E32" s="32" t="inlineStr">
        <is>
          <t>вручную</t>
        </is>
      </c>
      <c r="F32" s="10" t="inlineStr">
        <is>
          <t>—</t>
        </is>
      </c>
      <c r="G32" s="10" t="inlineStr">
        <is>
          <t>Wimpole Home Farm — National Trust (S070): защита Radware, ручной сезонный календарь</t>
        </is>
      </c>
    </row>
    <row r="33">
      <c r="A33" s="10" t="inlineStr">
        <is>
          <t>S139</t>
        </is>
      </c>
      <c r="B33" s="10" t="inlineStr">
        <is>
          <t>Audley End House (English Heritage)</t>
        </is>
      </c>
      <c r="C33" s="10" t="inlineStr">
        <is>
          <t>Семейные места и аттракционы</t>
        </is>
      </c>
      <c r="D33" s="10" t="inlineStr">
        <is>
          <t>живой</t>
        </is>
      </c>
      <c r="E33" s="32" t="inlineStr">
        <is>
          <t>отложен</t>
        </is>
      </c>
      <c r="F33" s="10" t="inlineStr">
        <is>
          <t>—</t>
        </is>
      </c>
      <c r="G33" s="10" t="inlineStr">
        <is>
          <t>Audley End (English Heritage): события на странице загружаются скриптом, в HTML дат нет; JSON-LD нет — этап 6b (поиск) или ручной сезонный календарь</t>
        </is>
      </c>
    </row>
    <row r="34">
      <c r="A34" s="10" t="inlineStr">
        <is>
          <t>S140</t>
        </is>
      </c>
      <c r="B34" s="10" t="inlineStr">
        <is>
          <t>Woburn Safari Park</t>
        </is>
      </c>
      <c r="C34" s="10" t="inlineStr">
        <is>
          <t>Семейные места и аттракционы</t>
        </is>
      </c>
      <c r="D34" s="10" t="inlineStr">
        <is>
          <t>живой</t>
        </is>
      </c>
      <c r="E34" s="32" t="inlineStr">
        <is>
          <t>отложен</t>
        </is>
      </c>
      <c r="F34" s="10" t="inlineStr">
        <is>
          <t>—</t>
        </is>
      </c>
      <c r="G34" s="10" t="inlineStr">
        <is>
          <t>Woburn Safari Park: страница событий отвечает 500; вне графства, ~55 км — только события ≥ 7 по правилу 40–60 км</t>
        </is>
      </c>
    </row>
    <row r="35">
      <c r="A35" s="10" t="inlineStr">
        <is>
          <t>S039</t>
        </is>
      </c>
      <c r="B35" s="10" t="inlineStr">
        <is>
          <t>Рождественские маркеты в центре</t>
        </is>
      </c>
      <c r="C35" s="10" t="inlineStr">
        <is>
          <t>Поля, церкви, ярмарки</t>
        </is>
      </c>
      <c r="D35" s="10" t="inlineStr">
        <is>
          <t>живой</t>
        </is>
      </c>
      <c r="E35" s="10" t="inlineStr">
        <is>
          <t>ежегодное</t>
        </is>
      </c>
      <c r="F35" s="10" t="inlineStr">
        <is>
          <t>—</t>
        </is>
      </c>
      <c r="G35" s="10" t="inlineStr">
        <is>
          <t>Christmas in Cambridge (Parker's Piece: каток, маркет, колесо) — recurring R21, дата со страницы (13.11.2026 – 3.01.2027)</t>
        </is>
      </c>
    </row>
    <row r="36">
      <c r="A36" s="10" t="inlineStr">
        <is>
          <t>S071</t>
        </is>
      </c>
      <c r="B36" s="10" t="inlineStr">
        <is>
          <t>Ely Cathedral</t>
        </is>
      </c>
      <c r="C36" s="10" t="inlineStr">
        <is>
          <t>Поля, церкви, ярмарки</t>
        </is>
      </c>
      <c r="D36" s="10" t="inlineStr">
        <is>
          <t>живой</t>
        </is>
      </c>
      <c r="E36" s="33" t="inlineStr">
        <is>
          <t>подключён</t>
        </is>
      </c>
      <c r="F36" s="10" t="n">
        <v>29</v>
      </c>
      <c r="G36" s="10" t="inlineStr">
        <is>
          <t>Ely Cathedral: карточки /events (дата + название), один запрос; отложен в P2 на этапе 5</t>
        </is>
      </c>
    </row>
    <row r="37">
      <c r="A37" s="10" t="inlineStr">
        <is>
          <t>S141</t>
        </is>
      </c>
      <c r="B37" s="10" t="inlineStr">
        <is>
          <t>A Church Near You (Church of England)</t>
        </is>
      </c>
      <c r="C37" s="10" t="inlineStr">
        <is>
          <t>Поля, церкви, ярмарки</t>
        </is>
      </c>
      <c r="D37" s="10" t="inlineStr">
        <is>
          <t>живой</t>
        </is>
      </c>
      <c r="E37" s="10" t="inlineStr">
        <is>
          <t>не нужен</t>
        </is>
      </c>
      <c r="F37" s="10" t="inlineStr">
        <is>
          <t>—</t>
        </is>
      </c>
      <c r="G37" s="10" t="inlineStr">
        <is>
          <t>A Church Near You: robots.txt разрешает (кроме /christmas/events/), но события — по страницам каждого прихода (сотни в епархии Ely) и в основном регулярные службы; единого источника на графство нет. Концерты крупных церквей уже приходят через Ents24 (King's Chapel, Great St Mary's), University What's On (обеденные концерты GSM) и Visit Cambridge; пропуски — проверить на этапе 6b</t>
        </is>
      </c>
    </row>
    <row r="38">
      <c r="A38" s="10" t="inlineStr">
        <is>
          <t>S142</t>
        </is>
      </c>
      <c r="B38" s="10" t="inlineStr">
        <is>
          <t>ChurchSuite</t>
        </is>
      </c>
      <c r="C38" s="10" t="inlineStr">
        <is>
          <t>Поля, церкви, ярмарки</t>
        </is>
      </c>
      <c r="D38" s="10" t="inlineStr">
        <is>
          <t>закрыт</t>
        </is>
      </c>
      <c r="E38" s="19" t="inlineStr">
        <is>
          <t>закрыт</t>
        </is>
      </c>
      <c r="F38" s="10" t="inlineStr">
        <is>
          <t>—</t>
        </is>
      </c>
      <c r="G38" s="10" t="inlineStr">
        <is>
          <t>ChurchSuite: churchsuite.com за Cloudflare (403) — не обходим; календари отдельных приходов (&lt;приход&gt;.churchsuite.com) — если найдутся на этапе 6b</t>
        </is>
      </c>
    </row>
    <row r="39">
      <c r="A39" s="10" t="inlineStr">
        <is>
          <t>S143</t>
        </is>
      </c>
      <c r="B39" s="10" t="inlineStr">
        <is>
          <t>King's College Chapel</t>
        </is>
      </c>
      <c r="C39" s="10" t="inlineStr">
        <is>
          <t>Поля, церкви, ярмарки</t>
        </is>
      </c>
      <c r="D39" s="10" t="inlineStr">
        <is>
          <t>живой</t>
        </is>
      </c>
      <c r="E39" s="10" t="inlineStr">
        <is>
          <t>покрыт</t>
        </is>
      </c>
      <c r="F39" s="10" t="inlineStr">
        <is>
          <t>—</t>
        </is>
      </c>
      <c r="G39" s="10" t="inlineStr">
        <is>
          <t>King's College Chapel: страница концертов без дат в HTML; концерты есть в Ents24 (S006) и Visit Cambridge</t>
        </is>
      </c>
    </row>
    <row r="40">
      <c r="A40" s="10" t="inlineStr">
        <is>
          <t>S144</t>
        </is>
      </c>
      <c r="B40" s="10" t="inlineStr">
        <is>
          <t>St John's College Chapel</t>
        </is>
      </c>
      <c r="C40" s="10" t="inlineStr">
        <is>
          <t>Поля, церкви, ярмарки</t>
        </is>
      </c>
      <c r="D40" s="10" t="inlineStr">
        <is>
          <t>живой</t>
        </is>
      </c>
      <c r="E40" s="10" t="inlineStr">
        <is>
          <t>покрыт</t>
        </is>
      </c>
      <c r="F40" s="10" t="inlineStr">
        <is>
          <t>—</t>
        </is>
      </c>
      <c r="G40" s="10" t="inlineStr">
        <is>
          <t>St John's College Chapel: события — отдельными страницами без списка с датами; крупные концерты — в Visit Cambridge</t>
        </is>
      </c>
    </row>
    <row r="41">
      <c r="A41" s="10" t="inlineStr">
        <is>
          <t>S145</t>
        </is>
      </c>
      <c r="B41" s="10" t="inlineStr">
        <is>
          <t>Trinity College Chapel / Great St Mary's</t>
        </is>
      </c>
      <c r="C41" s="10" t="inlineStr">
        <is>
          <t>Поля, церкви, ярмарки</t>
        </is>
      </c>
      <c r="D41" s="10" t="inlineStr">
        <is>
          <t>закрыт</t>
        </is>
      </c>
      <c r="E41" s="19" t="inlineStr">
        <is>
          <t>закрыт</t>
        </is>
      </c>
      <c r="F41" s="10" t="inlineStr">
        <is>
          <t>—</t>
        </is>
      </c>
      <c r="G41" s="10" t="inlineStr">
        <is>
          <t>Trinity College Chapel: ошибка сертификата TLS; Great St Mary's (gsm.cam.ac.uk — 502, greatstmarys.org — страница на скриптах): обеденные концерты — через University What's On (S048)</t>
        </is>
      </c>
    </row>
    <row r="42">
      <c r="A42" s="10" t="inlineStr">
        <is>
          <t>S146</t>
        </is>
      </c>
      <c r="B42" s="10" t="inlineStr">
        <is>
          <t>Round Church / St Botolph's</t>
        </is>
      </c>
      <c r="C42" s="10" t="inlineStr">
        <is>
          <t>Поля, церкви, ярмарки</t>
        </is>
      </c>
      <c r="D42" s="10" t="inlineStr">
        <is>
          <t>живой</t>
        </is>
      </c>
      <c r="E42" s="10" t="inlineStr">
        <is>
          <t>не нужен</t>
        </is>
      </c>
      <c r="F42" s="10" t="inlineStr">
        <is>
          <t>—</t>
        </is>
      </c>
      <c r="G42" s="10" t="inlineStr">
        <is>
          <t>Round Church: сайт визит-центра, событий в афише нет; St Botolph's — домен отвечает 502</t>
        </is>
      </c>
    </row>
    <row r="43">
      <c r="A43" s="10" t="inlineStr">
        <is>
          <t>S147</t>
        </is>
      </c>
      <c r="B43" s="10" t="inlineStr">
        <is>
          <t>Stourbridge Fair, Big Weekend, включение огней</t>
        </is>
      </c>
      <c r="C43" s="10" t="inlineStr">
        <is>
          <t>Поля, церкви, ярмарки</t>
        </is>
      </c>
      <c r="D43" s="10" t="inlineStr">
        <is>
          <t>—</t>
        </is>
      </c>
      <c r="E43" s="10" t="inlineStr">
        <is>
          <t>ежегодное</t>
        </is>
      </c>
      <c r="F43" s="10" t="inlineStr">
        <is>
          <t>—</t>
        </is>
      </c>
      <c r="G43" s="10" t="inlineStr">
        <is>
          <t>Stourbridge Fair (Leper Chapel, CPPF) — recurring R22; Big Weekend — R23; включение рождественских огней — R24</t>
        </is>
      </c>
    </row>
    <row r="44">
      <c r="A44" s="10" t="inlineStr">
        <is>
          <t>S067</t>
        </is>
      </c>
      <c r="B44" s="10" t="inlineStr">
        <is>
          <t>National Garden Scheme</t>
        </is>
      </c>
      <c r="C44" s="10" t="inlineStr">
        <is>
          <t>Отложенные P2</t>
        </is>
      </c>
      <c r="D44" s="10" t="inlineStr">
        <is>
          <t>живой</t>
        </is>
      </c>
      <c r="E44" s="32" t="inlineStr">
        <is>
          <t>отложен</t>
        </is>
      </c>
      <c r="F44" s="10" t="inlineStr">
        <is>
          <t>—</t>
        </is>
      </c>
      <c r="G44" s="10" t="inlineStr">
        <is>
          <t>NGS (открытые сады): приложение findagarden на скриптах; сезон апрель–сентябрь — проверить API весной</t>
        </is>
      </c>
    </row>
    <row r="45">
      <c r="A45" s="10" t="inlineStr">
        <is>
          <t>S076</t>
        </is>
      </c>
      <c r="B45" s="10" t="inlineStr">
        <is>
          <t>Love Mill Road / Mill Road Fringe</t>
        </is>
      </c>
      <c r="C45" s="10" t="inlineStr">
        <is>
          <t>Отложенные P2</t>
        </is>
      </c>
      <c r="D45" s="10" t="inlineStr">
        <is>
          <t>живой</t>
        </is>
      </c>
      <c r="E45" s="32" t="inlineStr">
        <is>
          <t>отложен</t>
        </is>
      </c>
      <c r="F45" s="10" t="inlineStr">
        <is>
          <t>—</t>
        </is>
      </c>
      <c r="G45" s="10" t="inlineStr">
        <is>
          <t>Mill Road Fringe: страница без дат, фестиваль летом — проверить к сезону; Winter Fair — в recurring (R16)</t>
        </is>
      </c>
    </row>
    <row r="46">
      <c r="A46" s="10" t="inlineStr">
        <is>
          <t>S086</t>
        </is>
      </c>
      <c r="B46" s="10" t="inlineStr">
        <is>
          <t>Addenbrooke's Charitable Trust — события</t>
        </is>
      </c>
      <c r="C46" s="10" t="inlineStr">
        <is>
          <t>Отложенные P2</t>
        </is>
      </c>
      <c r="D46" s="10" t="inlineStr">
        <is>
          <t>живой</t>
        </is>
      </c>
      <c r="E46" s="10" t="inlineStr">
        <is>
          <t>не нужен</t>
        </is>
      </c>
      <c r="F46" s="10" t="inlineStr">
        <is>
          <t>—</t>
        </is>
      </c>
      <c r="G46" s="10" t="inlineStr">
        <is>
          <t>Addenbrooke's Charitable Trust: благотворительные забеги и акции для участников, не события для зрителей; Dragon Boat Festival — в recurring (R10)</t>
        </is>
      </c>
    </row>
    <row r="47">
      <c r="A47" s="10" t="inlineStr">
        <is>
          <t>S098</t>
        </is>
      </c>
      <c r="B47" s="10" t="inlineStr">
        <is>
          <t>South Cambridgeshire District Council</t>
        </is>
      </c>
      <c r="C47" s="10" t="inlineStr">
        <is>
          <t>Отложенные P2</t>
        </is>
      </c>
      <c r="D47" s="10" t="inlineStr">
        <is>
          <t>живой</t>
        </is>
      </c>
      <c r="E47" s="10" t="inlineStr">
        <is>
          <t>не нужен</t>
        </is>
      </c>
      <c r="F47" s="10" t="inlineStr">
        <is>
          <t>—</t>
        </is>
      </c>
      <c r="G47" s="10" t="inlineStr">
        <is>
          <t>South Cambridgeshire DC: календарь — заседания совета, не публичные события</t>
        </is>
      </c>
    </row>
    <row r="48">
      <c r="A48" s="10" t="inlineStr">
        <is>
          <t>S099</t>
        </is>
      </c>
      <c r="B48" s="10" t="inlineStr">
        <is>
          <t>East Cambridgeshire District Council</t>
        </is>
      </c>
      <c r="C48" s="10" t="inlineStr">
        <is>
          <t>Отложенные P2</t>
        </is>
      </c>
      <c r="D48" s="10" t="inlineStr">
        <is>
          <t>живой</t>
        </is>
      </c>
      <c r="E48" s="10" t="inlineStr">
        <is>
          <t>не нужен</t>
        </is>
      </c>
      <c r="F48" s="10" t="inlineStr">
        <is>
          <t>—</t>
        </is>
      </c>
      <c r="G48" s="10" t="inlineStr">
        <is>
          <t>East Cambridgeshire DC: страница событий пуста</t>
        </is>
      </c>
    </row>
    <row r="49">
      <c r="A49" s="10" t="inlineStr">
        <is>
          <t>S105</t>
        </is>
      </c>
      <c r="B49" s="10" t="inlineStr">
        <is>
          <t>St Neots Town Council</t>
        </is>
      </c>
      <c r="C49" s="10" t="inlineStr">
        <is>
          <t>Отложенные P2</t>
        </is>
      </c>
      <c r="D49" s="10" t="inlineStr">
        <is>
          <t>живой</t>
        </is>
      </c>
      <c r="E49" s="10" t="inlineStr">
        <is>
          <t>не нужен</t>
        </is>
      </c>
      <c r="F49" s="10" t="inlineStr">
        <is>
          <t>—</t>
        </is>
      </c>
      <c r="G49" s="10" t="inlineStr">
        <is>
          <t>St Neots Town Council: 5–6 событий в год (Bands in the Park, Dragon Boat Race, включение огней), на страницах без дат — ловятся статьями Hunts Post (S116)</t>
        </is>
      </c>
    </row>
    <row r="50">
      <c r="A50" s="10" t="inlineStr">
        <is>
          <t>S111</t>
        </is>
      </c>
      <c r="B50" s="10" t="inlineStr">
        <is>
          <t>Whittlesey Town Council</t>
        </is>
      </c>
      <c r="C50" s="10" t="inlineStr">
        <is>
          <t>Отложенные P2</t>
        </is>
      </c>
      <c r="D50" s="10" t="inlineStr">
        <is>
          <t>живой</t>
        </is>
      </c>
      <c r="E50" s="10" t="inlineStr">
        <is>
          <t>не нужен</t>
        </is>
      </c>
      <c r="F50" s="10" t="inlineStr">
        <is>
          <t>—</t>
        </is>
      </c>
      <c r="G50" s="10" t="inlineStr">
        <is>
          <t>Whittlesey Town Council: страницы событий без дат; Straw Bear — в recurring (R01), остальное — статьи Cambs Times (S117)</t>
        </is>
      </c>
    </row>
    <row r="51">
      <c r="A51" s="10" t="inlineStr">
        <is>
          <t>S113</t>
        </is>
      </c>
      <c r="B51" s="10" t="inlineStr">
        <is>
          <t>Visit Ely</t>
        </is>
      </c>
      <c r="C51" s="10" t="inlineStr">
        <is>
          <t>Отложенные P2</t>
        </is>
      </c>
      <c r="D51" s="10" t="inlineStr">
        <is>
          <t>живой</t>
        </is>
      </c>
      <c r="E51" s="33" t="inlineStr">
        <is>
          <t>подключён</t>
        </is>
      </c>
      <c r="F51" s="10" t="n">
        <v>10</v>
      </c>
      <c r="G51" s="10" t="inlineStr">
        <is>
          <t>Visit Ely: /whats-on/ (JetEngine), дата начала и конца в карточке; площадка не указана — зона по городу Эли</t>
        </is>
      </c>
    </row>
    <row r="52">
      <c r="A52" s="10" t="inlineStr">
        <is>
          <t>S115</t>
        </is>
      </c>
      <c r="B52" s="10" t="inlineStr">
        <is>
          <t>Visit Huntingdonshire</t>
        </is>
      </c>
      <c r="C52" s="10" t="inlineStr">
        <is>
          <t>Отложенные P2</t>
        </is>
      </c>
      <c r="D52" s="10" t="inlineStr">
        <is>
          <t>живой</t>
        </is>
      </c>
      <c r="E52" s="32" t="inlineStr">
        <is>
          <t>отложен</t>
        </is>
      </c>
      <c r="F52" s="10" t="inlineStr">
        <is>
          <t>—</t>
        </is>
      </c>
      <c r="G52" s="10" t="inlineStr">
        <is>
          <t>Discover Huntingdonshire: афиша загружается скриптом, в HTML дат нет — этап 6b (поиск)</t>
        </is>
      </c>
    </row>
    <row r="53">
      <c r="A53" s="10" t="inlineStr">
        <is>
          <t>S126</t>
        </is>
      </c>
      <c r="B53" s="10" t="inlineStr">
        <is>
          <t>Bury St Edmunds — Apex / Theatre Royal / Visit Bury</t>
        </is>
      </c>
      <c r="C53" s="10" t="inlineStr">
        <is>
          <t>Отложенные P2</t>
        </is>
      </c>
      <c r="D53" s="10" t="inlineStr">
        <is>
          <t>живой</t>
        </is>
      </c>
      <c r="E53" s="33" t="inlineStr">
        <is>
          <t>подключён</t>
        </is>
      </c>
      <c r="F53" s="10" t="n">
        <v>30</v>
      </c>
      <c r="G53" s="10" t="inlineStr">
        <is>
          <t>Theatre Royal Bury St Edmunds: список — REST WordPress /wp-json/wp/v2/events (~33), дата и цена — со страниц спектаклей; RSS /feed/ — новости театра, не афиша</t>
        </is>
      </c>
    </row>
    <row r="54">
      <c r="A54" s="10" t="inlineStr">
        <is>
          <t>S009</t>
        </is>
      </c>
      <c r="B54" s="10" t="inlineStr">
        <is>
          <t>Songkick — площадки Кембриджа</t>
        </is>
      </c>
      <c r="C54" s="10" t="inlineStr">
        <is>
          <t>Источники P3</t>
        </is>
      </c>
      <c r="D54" s="10" t="inlineStr">
        <is>
          <t>живой</t>
        </is>
      </c>
      <c r="E54" s="10" t="inlineStr">
        <is>
          <t>не нужен</t>
        </is>
      </c>
      <c r="F54" s="10" t="inlineStr">
        <is>
          <t>—</t>
        </is>
      </c>
      <c r="G54" s="10" t="inlineStr">
        <is>
          <t>Songkick: страница города — 404, API для новых партнёров закрыт; концерты покрыты Ents24/Skiddle (S006, S007)</t>
        </is>
      </c>
    </row>
    <row r="55">
      <c r="A55" s="10" t="inlineStr">
        <is>
          <t>S016</t>
        </is>
      </c>
      <c r="B55" s="10" t="inlineStr">
        <is>
          <t>Хоровая музыка колледжей (King's, St John's, Trinity)</t>
        </is>
      </c>
      <c r="C55" s="10" t="inlineStr">
        <is>
          <t>Источники P3</t>
        </is>
      </c>
      <c r="D55" s="10" t="inlineStr">
        <is>
          <t>—</t>
        </is>
      </c>
      <c r="E55" s="10" t="inlineStr">
        <is>
          <t>не нужен</t>
        </is>
      </c>
      <c r="F55" s="10" t="inlineStr">
        <is>
          <t>—</t>
        </is>
      </c>
      <c r="G55" s="10" t="inlineStr">
        <is>
          <t>хоровая музыка колледжей — покрыто: King's/GSM через Ents24 и University What's On (S048), St John's/Trinity — Visit Cambridge (S001); регулярный evensong в выпуск не идёт</t>
        </is>
      </c>
    </row>
    <row r="56">
      <c r="A56" s="10" t="inlineStr">
        <is>
          <t>S019</t>
        </is>
      </c>
      <c r="B56" s="10" t="inlineStr">
        <is>
          <t>Cambridge City FC</t>
        </is>
      </c>
      <c r="C56" s="10" t="inlineStr">
        <is>
          <t>Источники P3</t>
        </is>
      </c>
      <c r="D56" s="10" t="inlineStr">
        <is>
          <t>живой</t>
        </is>
      </c>
      <c r="E56" s="10" t="inlineStr">
        <is>
          <t>не нужен</t>
        </is>
      </c>
      <c r="F56" s="10" t="inlineStr">
        <is>
          <t>—</t>
        </is>
      </c>
      <c r="G56" s="10" t="inlineStr">
        <is>
          <t>Cambridge City FC: 8-й уровень (Isthmian North, стадион в Sawston), матчи низкой значимости; сайт лиги без календаря в HTML, Football Web Pages — 403</t>
        </is>
      </c>
    </row>
    <row r="57">
      <c r="A57" s="10" t="inlineStr">
        <is>
          <t>S022</t>
        </is>
      </c>
      <c r="B57" s="10" t="inlineStr">
        <is>
          <t>Huntingdon Racecourse</t>
        </is>
      </c>
      <c r="C57" s="10" t="inlineStr">
        <is>
          <t>Источники P3</t>
        </is>
      </c>
      <c r="D57" s="10" t="inlineStr">
        <is>
          <t>живой</t>
        </is>
      </c>
      <c r="E57" s="33" t="inlineStr">
        <is>
          <t>подключён</t>
        </is>
      </c>
      <c r="F57" s="10" t="n">
        <v>11</v>
      </c>
      <c r="G57" s="10" t="inlineStr">
        <is>
          <t>Huntingdon Racecourse: JSON-LD на странице событий Jockey Club (как Newmarket S021)</t>
        </is>
      </c>
    </row>
    <row r="58">
      <c r="A58" s="10" t="inlineStr">
        <is>
          <t>S024</t>
        </is>
      </c>
      <c r="B58" s="10" t="inlineStr">
        <is>
          <t>Town Bumps (Cambridgeshire Rowing Association)</t>
        </is>
      </c>
      <c r="C58" s="10" t="inlineStr">
        <is>
          <t>Источники P3</t>
        </is>
      </c>
      <c r="D58" s="10" t="inlineStr">
        <is>
          <t>закрыт</t>
        </is>
      </c>
      <c r="E58" s="10" t="inlineStr">
        <is>
          <t>ежегодное</t>
        </is>
      </c>
      <c r="F58" s="10" t="inlineStr">
        <is>
          <t>—</t>
        </is>
      </c>
      <c r="G58" s="10" t="inlineStr">
        <is>
          <t>Town Bumps: сайт Cambridgeshire Rowing Association отвечает 502; летние Town Bumps — в бэклог recurring (дата вручную)</t>
        </is>
      </c>
    </row>
    <row r="59">
      <c r="A59" s="10" t="inlineStr">
        <is>
          <t>S025</t>
        </is>
      </c>
      <c r="B59" s="10" t="inlineStr">
        <is>
          <t>Varsity-матчи (Oxford vs Cambridge)</t>
        </is>
      </c>
      <c r="C59" s="10" t="inlineStr">
        <is>
          <t>Источники P3</t>
        </is>
      </c>
      <c r="D59" s="10" t="inlineStr">
        <is>
          <t>—</t>
        </is>
      </c>
      <c r="E59" s="32" t="inlineStr">
        <is>
          <t>вручную</t>
        </is>
      </c>
      <c r="F59" s="10" t="inlineStr">
        <is>
          <t>—</t>
        </is>
      </c>
      <c r="G59" s="10" t="inlineStr">
        <is>
          <t>Varsity-матчи: календарь вручную (даты публикуются университетскими клубами), крупные — через статьи</t>
        </is>
      </c>
    </row>
    <row r="60">
      <c r="A60" s="10" t="inlineStr">
        <is>
          <t>S037</t>
        </is>
      </c>
      <c r="B60" s="10" t="inlineStr">
        <is>
          <t>Cambridge Science Festival / семейные программы</t>
        </is>
      </c>
      <c r="C60" s="10" t="inlineStr">
        <is>
          <t>Источники P3</t>
        </is>
      </c>
      <c r="D60" s="10" t="inlineStr">
        <is>
          <t>—</t>
        </is>
      </c>
      <c r="E60" s="10" t="inlineStr">
        <is>
          <t>не нужен</t>
        </is>
      </c>
      <c r="F60" s="10" t="inlineStr">
        <is>
          <t>—</t>
        </is>
      </c>
      <c r="G60" s="10" t="inlineStr">
        <is>
          <t>Cambridge Science Festival слит с Cambridge Festival — дубль R04</t>
        </is>
      </c>
    </row>
    <row r="61">
      <c r="A61" s="10" t="inlineStr">
        <is>
          <t>S040</t>
        </is>
      </c>
      <c r="B61" s="10" t="inlineStr">
        <is>
          <t>Деревенские fetes и летние ярмарки</t>
        </is>
      </c>
      <c r="C61" s="10" t="inlineStr">
        <is>
          <t>Источники P3</t>
        </is>
      </c>
      <c r="D61" s="10" t="inlineStr">
        <is>
          <t>—</t>
        </is>
      </c>
      <c r="E61" s="10" t="inlineStr">
        <is>
          <t>покрыт</t>
        </is>
      </c>
      <c r="F61" s="10" t="inlineStr">
        <is>
          <t>—</t>
        </is>
      </c>
      <c r="G61" s="10" t="inlineStr">
        <is>
          <t>деревенские fetes — через Eventbrite (S008), Visit Cambridge (S001), статьи Newsquest (S116–S119); Facebook-группы не парсим</t>
        </is>
      </c>
    </row>
    <row r="62">
      <c r="A62" s="10" t="inlineStr">
        <is>
          <t>S043</t>
        </is>
      </c>
      <c r="B62" s="10" t="inlineStr">
        <is>
          <t>Mumford Theatre (ARU)</t>
        </is>
      </c>
      <c r="C62" s="10" t="inlineStr">
        <is>
          <t>Источники P3</t>
        </is>
      </c>
      <c r="D62" s="10" t="inlineStr">
        <is>
          <t>живой</t>
        </is>
      </c>
      <c r="E62" s="33" t="inlineStr">
        <is>
          <t>подключён</t>
        </is>
      </c>
      <c r="F62" s="10" t="n">
        <v>0</v>
      </c>
      <c r="G62" s="10" t="inlineStr">
        <is>
          <t>Mumford Theatre (ARU): афиша на Eventbrite (страница организатора), JSON-LD страниц событий; сейчас у организатора 0 предстоящих (upcomingEventsTotal: 0) — межсезонье</t>
        </is>
      </c>
    </row>
    <row r="63">
      <c r="A63" s="10" t="inlineStr">
        <is>
          <t>S059</t>
        </is>
      </c>
      <c r="B63" s="10" t="inlineStr">
        <is>
          <t>Cambridge Market (Market Square)</t>
        </is>
      </c>
      <c r="C63" s="10" t="inlineStr">
        <is>
          <t>Источники P3</t>
        </is>
      </c>
      <c r="D63" s="10" t="inlineStr">
        <is>
          <t>—</t>
        </is>
      </c>
      <c r="E63" s="10" t="inlineStr">
        <is>
          <t>не нужен</t>
        </is>
      </c>
      <c r="F63" s="10" t="inlineStr">
        <is>
          <t>—</t>
        </is>
      </c>
      <c r="G63" s="10" t="inlineStr">
        <is>
          <t>Cambridge Market — ежедневный рынок, стабильное расписание: справочник, не событие</t>
        </is>
      </c>
    </row>
    <row r="64">
      <c r="A64" s="10" t="inlineStr">
        <is>
          <t>S060</t>
        </is>
      </c>
      <c r="B64" s="10" t="inlineStr">
        <is>
          <t>All Saints Garden Art &amp; Craft Market</t>
        </is>
      </c>
      <c r="C64" s="10" t="inlineStr">
        <is>
          <t>Источники P3</t>
        </is>
      </c>
      <c r="D64" s="10" t="inlineStr">
        <is>
          <t>—</t>
        </is>
      </c>
      <c r="E64" s="10" t="inlineStr">
        <is>
          <t>не нужен</t>
        </is>
      </c>
      <c r="F64" s="10" t="inlineStr">
        <is>
          <t>—</t>
        </is>
      </c>
      <c r="G64" s="10" t="inlineStr">
        <is>
          <t>All Saints Garden Art &amp; Craft Market — регулярный (суббота), справочник</t>
        </is>
      </c>
    </row>
    <row r="65">
      <c r="A65" s="10" t="inlineStr">
        <is>
          <t>S061</t>
        </is>
      </c>
      <c r="B65" s="10" t="inlineStr">
        <is>
          <t>Car boot sales в округе</t>
        </is>
      </c>
      <c r="C65" s="10" t="inlineStr">
        <is>
          <t>Источники P3</t>
        </is>
      </c>
      <c r="D65" s="10" t="inlineStr">
        <is>
          <t>—</t>
        </is>
      </c>
      <c r="E65" s="10" t="inlineStr">
        <is>
          <t>не нужен</t>
        </is>
      </c>
      <c r="F65" s="10" t="inlineStr">
        <is>
          <t>—</t>
        </is>
      </c>
      <c r="G65" s="10" t="inlineStr">
        <is>
          <t>car boot sales — агрегатора с разрешающим robots.txt не нашлось; регулярные — справочник</t>
        </is>
      </c>
    </row>
    <row r="66">
      <c r="A66" s="10" t="inlineStr">
        <is>
          <t>S063</t>
        </is>
      </c>
      <c r="B66" s="10" t="inlineStr">
        <is>
          <t>Resident Advisor / Skiddle — клубные события</t>
        </is>
      </c>
      <c r="C66" s="10" t="inlineStr">
        <is>
          <t>Источники P3</t>
        </is>
      </c>
      <c r="D66" s="10" t="inlineStr">
        <is>
          <t>закрыт</t>
        </is>
      </c>
      <c r="E66" s="10" t="inlineStr">
        <is>
          <t>покрыт</t>
        </is>
      </c>
      <c r="F66" s="10" t="inlineStr">
        <is>
          <t>—</t>
        </is>
      </c>
      <c r="G66" s="10" t="inlineStr">
        <is>
          <t>Resident Advisor — 403; клубные события — Skiddle (S007, S129)</t>
        </is>
      </c>
    </row>
    <row r="67">
      <c r="A67" s="10" t="inlineStr">
        <is>
          <t>S064</t>
        </is>
      </c>
      <c r="B67" s="10" t="inlineStr">
        <is>
          <t>Квизы в пабах</t>
        </is>
      </c>
      <c r="C67" s="10" t="inlineStr">
        <is>
          <t>Источники P3</t>
        </is>
      </c>
      <c r="D67" s="10" t="inlineStr">
        <is>
          <t>—</t>
        </is>
      </c>
      <c r="E67" s="10" t="inlineStr">
        <is>
          <t>не нужен</t>
        </is>
      </c>
      <c r="F67" s="10" t="inlineStr">
        <is>
          <t>—</t>
        </is>
      </c>
      <c r="G67" s="10" t="inlineStr">
        <is>
          <t>квизы в пабах — справочник, не лента событий</t>
        </is>
      </c>
    </row>
    <row r="68">
      <c r="A68" s="10" t="inlineStr">
        <is>
          <t>S068</t>
        </is>
      </c>
      <c r="B68" s="10" t="inlineStr">
        <is>
          <t>Колледжи — дни открытых дверей и туры</t>
        </is>
      </c>
      <c r="C68" s="10" t="inlineStr">
        <is>
          <t>Источники P3</t>
        </is>
      </c>
      <c r="D68" s="10" t="inlineStr">
        <is>
          <t>—</t>
        </is>
      </c>
      <c r="E68" s="32" t="inlineStr">
        <is>
          <t>вручную</t>
        </is>
      </c>
      <c r="F68" s="10" t="inlineStr">
        <is>
          <t>—</t>
        </is>
      </c>
      <c r="G68" s="10" t="inlineStr">
        <is>
          <t>дни открытых дверей колледжей — Open Cambridge (R12) и University What's On (S048)</t>
        </is>
      </c>
    </row>
    <row r="69">
      <c r="A69" s="10" t="inlineStr">
        <is>
          <t>S073</t>
        </is>
      </c>
      <c r="B69" s="10" t="inlineStr">
        <is>
          <t>Remembrance, Pancake Race и др. традиции</t>
        </is>
      </c>
      <c r="C69" s="10" t="inlineStr">
        <is>
          <t>Источники P3</t>
        </is>
      </c>
      <c r="D69" s="10" t="inlineStr">
        <is>
          <t>—</t>
        </is>
      </c>
      <c r="E69" s="32" t="inlineStr">
        <is>
          <t>вручную</t>
        </is>
      </c>
      <c r="F69" s="10" t="inlineStr">
        <is>
          <t>—</t>
        </is>
      </c>
      <c r="G69" s="10" t="inlineStr">
        <is>
          <t>традиции (Remembrance, Pancake Race) — статичный календарь / recurring вручную; Remembrance в Эли — пришло из статьи Ely Standard</t>
        </is>
      </c>
    </row>
    <row r="70">
      <c r="A70" s="10" t="inlineStr">
        <is>
          <t>S074</t>
        </is>
      </c>
      <c r="B70" s="10" t="inlineStr">
        <is>
          <t>Makespace Cambridge</t>
        </is>
      </c>
      <c r="C70" s="10" t="inlineStr">
        <is>
          <t>Источники P3</t>
        </is>
      </c>
      <c r="D70" s="10" t="inlineStr">
        <is>
          <t>закрыт</t>
        </is>
      </c>
      <c r="E70" s="19" t="inlineStr">
        <is>
          <t>закрыт</t>
        </is>
      </c>
      <c r="F70" s="10" t="inlineStr">
        <is>
          <t>—</t>
        </is>
      </c>
      <c r="G70" s="10" t="inlineStr">
        <is>
          <t>Makespace: 429 на robots.txt — считаем запретом; курсы для членов, не публичные события</t>
        </is>
      </c>
    </row>
    <row r="71">
      <c r="A71" s="10" t="inlineStr">
        <is>
          <t>S080</t>
        </is>
      </c>
      <c r="B71" s="10" t="inlineStr">
        <is>
          <t>Stagecoach East / Park &amp; Ride</t>
        </is>
      </c>
      <c r="C71" s="10" t="inlineStr">
        <is>
          <t>Источники P3</t>
        </is>
      </c>
      <c r="D71" s="10" t="inlineStr">
        <is>
          <t>—</t>
        </is>
      </c>
      <c r="E71" s="10" t="inlineStr">
        <is>
          <t>не нужен</t>
        </is>
      </c>
      <c r="F71" s="10" t="inlineStr">
        <is>
          <t>—</t>
        </is>
      </c>
      <c r="G71" s="10" t="inlineStr">
        <is>
          <t>Stagecoach / Park &amp; Ride — транспорт, не события (рубрики «Практическое» в выпуске нет)</t>
        </is>
      </c>
    </row>
    <row r="72">
      <c r="A72" s="10" t="inlineStr">
        <is>
          <t>S085</t>
        </is>
      </c>
      <c r="B72" s="10" t="inlineStr">
        <is>
          <t>Cambridge Pythons (университетский ам. футбол)</t>
        </is>
      </c>
      <c r="C72" s="10" t="inlineStr">
        <is>
          <t>Источники P3</t>
        </is>
      </c>
      <c r="D72" s="10" t="inlineStr">
        <is>
          <t>закрыт</t>
        </is>
      </c>
      <c r="E72" s="32" t="inlineStr">
        <is>
          <t>отложен</t>
        </is>
      </c>
      <c r="F72" s="10" t="inlineStr">
        <is>
          <t>—</t>
        </is>
      </c>
      <c r="G72" s="10" t="inlineStr">
        <is>
          <t>Cambridge Pythons: сайт отвечает 502, сезон BAFA весна–лето — проверить весной вместе с Cambridgeshire Cats (R18)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style="11" min="1" max="1"/>
    <col width="45" customWidth="1" style="11" min="2" max="2"/>
    <col width="12" customWidth="1" style="11" min="3" max="3"/>
    <col width="12" customWidth="1" style="11" min="4" max="4"/>
    <col width="12" customWidth="1" style="11" min="5" max="5"/>
    <col width="12" customWidth="1" style="11" min="6" max="6"/>
    <col width="12" customWidth="1" style="11" min="7" max="7"/>
    <col width="80" customWidth="1" style="11" min="8" max="8"/>
    <col width="80" customWidth="1" style="11" min="9" max="9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Состояние</t>
        </is>
      </c>
      <c r="D1" s="20" t="inlineStr">
        <is>
          <t>Решение</t>
        </is>
      </c>
      <c r="E1" s="20" t="inlineStr">
        <is>
          <t>Событий от источника</t>
        </is>
      </c>
      <c r="F1" s="20" t="inlineStr">
        <is>
          <t>Новых уникальных</t>
        </is>
      </c>
      <c r="G1" s="20" t="inlineStr">
        <is>
          <t>Новых в окне 1–11.10</t>
        </is>
      </c>
      <c r="H1" s="20" t="inlineStr">
        <is>
          <t>Примечание</t>
        </is>
      </c>
      <c r="I1" s="20" t="inlineStr">
        <is>
          <t>Какое прежнее решение было ошибочным и почему</t>
        </is>
      </c>
    </row>
    <row r="2">
      <c r="A2" s="10" t="inlineStr">
        <is>
          <t>S019</t>
        </is>
      </c>
      <c r="B2" s="10" t="inlineStr">
        <is>
          <t>Cambridge City FC</t>
        </is>
      </c>
      <c r="C2" s="10" t="inlineStr">
        <is>
          <t>живой</t>
        </is>
      </c>
      <c r="D2" s="33" t="inlineStr">
        <is>
          <t>подключён</t>
        </is>
      </c>
      <c r="E2" s="10" t="n">
        <v>1</v>
      </c>
      <c r="F2" s="10" t="n">
        <v>1</v>
      </c>
      <c r="G2" s="10" t="n">
        <v>1</v>
      </c>
      <c r="H2" s="10" t="inlineStr">
        <is>
          <t>Cambridge City FC: домашние матчи из событий сайта клуба (Wix) → «Спорт → Также играют»</t>
        </is>
      </c>
      <c r="I2" s="10" t="inlineStr">
        <is>
          <t>S019 (этап 6: «не нужен, матчи низкой значимости») — отменено владельцем проекта после v5</t>
        </is>
      </c>
    </row>
    <row r="3">
      <c r="A3" s="10" t="inlineStr">
        <is>
          <t>S020</t>
        </is>
      </c>
      <c r="B3" s="10" t="inlineStr">
        <is>
          <t>Cambridge Rugby Club</t>
        </is>
      </c>
      <c r="C3" s="10" t="inlineStr">
        <is>
          <t>живой</t>
        </is>
      </c>
      <c r="D3" s="33" t="inlineStr">
        <is>
          <t>подключён</t>
        </is>
      </c>
      <c r="E3" s="10" t="n">
        <v>11</v>
      </c>
      <c r="F3" s="10" t="n">
        <v>11</v>
      </c>
      <c r="G3" s="10" t="n">
        <v>1</v>
      </c>
      <c r="H3" s="10" t="inlineStr">
        <is>
          <t>Cambridge RUFC: сайт клуба за бот-защитой; с 2026/27 — National League 1 (выбыли из Champ Rugby), весь сезон — PDF лиги (nationalleaguerugby.com)</t>
        </is>
      </c>
      <c r="I3" s="10" t="inlineStr">
        <is>
          <t>S020 (этап 5: «закрыт — бот-защита») — календарь нашёлся на сайте лиги</t>
        </is>
      </c>
    </row>
    <row r="4">
      <c r="A4" s="10" t="inlineStr">
        <is>
          <t>S042</t>
        </is>
      </c>
      <c r="B4" s="10" t="inlineStr">
        <is>
          <t>ADC Theatre</t>
        </is>
      </c>
      <c r="C4" s="10" t="inlineStr">
        <is>
          <t>живой</t>
        </is>
      </c>
      <c r="D4" s="33" t="inlineStr">
        <is>
          <t>подключён</t>
        </is>
      </c>
      <c r="E4" s="10" t="n">
        <v>28</v>
      </c>
      <c r="F4" s="10" t="n">
        <v>0</v>
      </c>
      <c r="G4" s="10" t="n">
        <v>0</v>
      </c>
      <c r="H4" s="10" t="inlineStr">
        <is>
          <t>ADC Theatre: цены — со страницы продажи adctheatre.com (robots.txt отвечает 404 — правил нет)</t>
        </is>
      </c>
      <c r="I4" s="10" t="inlineStr"/>
    </row>
    <row r="5">
      <c r="A5" s="10" t="inlineStr">
        <is>
          <t>S045</t>
        </is>
      </c>
      <c r="B5" s="10" t="inlineStr">
        <is>
          <t>Arts Picturehouse</t>
        </is>
      </c>
      <c r="C5" s="10" t="inlineStr">
        <is>
          <t>живой</t>
        </is>
      </c>
      <c r="D5" s="33" t="inlineStr">
        <is>
          <t>подключён</t>
        </is>
      </c>
      <c r="E5" s="10" t="n">
        <v>5</v>
      </c>
      <c r="F5" s="10" t="n">
        <v>5</v>
      </c>
      <c r="G5" s="10" t="n">
        <v>5</v>
      </c>
      <c r="H5" s="10" t="inlineStr">
        <is>
          <t>Arts Picturehouse: страница кинотеатра без AJAX — спецпоказы с датой и «Now Playing»; сеансы (AJAX с XSRF-токеном) не используем</t>
        </is>
      </c>
      <c r="I5" s="10" t="inlineStr">
        <is>
          <t>S045 (этап 6: «не нужен») — ошибочно: для рубрики «В кино» нужны спецпоказы и новые фильмы, а не сеансы</t>
        </is>
      </c>
    </row>
    <row r="6">
      <c r="A6" s="10" t="inlineStr">
        <is>
          <t>S105</t>
        </is>
      </c>
      <c r="B6" s="10" t="inlineStr">
        <is>
          <t>St Neots Town Council</t>
        </is>
      </c>
      <c r="C6" s="10" t="inlineStr">
        <is>
          <t>живой</t>
        </is>
      </c>
      <c r="D6" s="33" t="inlineStr">
        <is>
          <t>подключён</t>
        </is>
      </c>
      <c r="E6" s="10" t="n">
        <v>18</v>
      </c>
      <c r="F6" s="10" t="n">
        <v>18</v>
      </c>
      <c r="G6" s="10" t="n">
        <v>3</v>
      </c>
      <c r="H6" s="10" t="inlineStr">
        <is>
          <t>St Neots Town Council: помесячные страницы council_events → страница события (Date / Location / Time)</t>
        </is>
      </c>
      <c r="I6" s="10" t="inlineStr">
        <is>
          <t>S105 (этап 6: «не нужен, 5–6 событий в год») — ошибочно: рынки Farm &amp; Craft дважды в месяц, лекции, прогулки — 18 будущих событий</t>
        </is>
      </c>
    </row>
    <row r="7">
      <c r="A7" s="10" t="inlineStr">
        <is>
          <t>S144</t>
        </is>
      </c>
      <c r="B7" s="10" t="inlineStr">
        <is>
          <t>St John's College Chapel</t>
        </is>
      </c>
      <c r="C7" s="10" t="inlineStr">
        <is>
          <t>живой</t>
        </is>
      </c>
      <c r="D7" s="33" t="inlineStr">
        <is>
          <t>подключён</t>
        </is>
      </c>
      <c r="E7" s="10" t="n">
        <v>8</v>
      </c>
      <c r="F7" s="10" t="n">
        <v>8</v>
      </c>
      <c r="G7" s="10" t="n">
        <v>1</v>
      </c>
      <c r="H7" s="10" t="inlineStr">
        <is>
          <t>St John's College: joh.cam.ac.uk/festival (лекции, концерты, выставки) + sjcchoir.co.uk/events</t>
        </is>
      </c>
      <c r="I7" s="10" t="inlineStr">
        <is>
          <t>S144 (этап 6: «покрыт») — ошибочно: лекционные серии и концерты колледжа не приходят из других источников</t>
        </is>
      </c>
    </row>
    <row r="8">
      <c r="A8" s="10" t="inlineStr">
        <is>
          <t>S149</t>
        </is>
      </c>
      <c r="B8" s="10" t="inlineStr">
        <is>
          <t>King's College Choir — concerts</t>
        </is>
      </c>
      <c r="C8" s="10" t="inlineStr">
        <is>
          <t>живой</t>
        </is>
      </c>
      <c r="D8" s="33" t="inlineStr">
        <is>
          <t>подключён</t>
        </is>
      </c>
      <c r="E8" s="10" t="n">
        <v>9</v>
      </c>
      <c r="F8" s="10" t="n">
        <v>5</v>
      </c>
      <c r="G8" s="10" t="n">
        <v>0</v>
      </c>
      <c r="H8" s="10" t="inlineStr">
        <is>
          <t>King's College Choir: блок «Upcoming Performances» + страницы концертов (время, программа, «free of charge»)</t>
        </is>
      </c>
      <c r="I8" s="10" t="inlineStr">
        <is>
          <t>S143 King's College Chapel (этап 6: «покрыт через Ents24/Visit Cambridge») — ошибочно: воскресной органной серии и части концертов там нет; нужен сайт хора</t>
        </is>
      </c>
    </row>
    <row r="9">
      <c r="A9" s="10" t="inlineStr">
        <is>
          <t>S150</t>
        </is>
      </c>
      <c r="B9" s="10" t="inlineStr">
        <is>
          <t>Cambridge Music (cmp.cam.ac.uk) — West Road, CUMS, колледжи</t>
        </is>
      </c>
      <c r="C9" s="10" t="inlineStr">
        <is>
          <t>живой</t>
        </is>
      </c>
      <c r="D9" s="33" t="inlineStr">
        <is>
          <t>подключён</t>
        </is>
      </c>
      <c r="E9" s="10" t="n">
        <v>91</v>
      </c>
      <c r="F9" s="10" t="n">
        <v>85</v>
      </c>
      <c r="G9" s="10" t="n">
        <v>4</v>
      </c>
      <c r="H9" s="10" t="inlineStr">
        <is>
          <t>cmp.cam.ac.uk: WordPress REST + страницы событий («When / Where»); наборы в студенческие коллективы отсекаются</t>
        </is>
      </c>
      <c r="I9" s="10" t="inlineStr">
        <is>
          <t>S015 West Road (этап 5: «не нужен, концерты приходят из S091/S005/S007/S008») — ошибочно: концерты CUMS, факультета и колледжей туда не приходят</t>
        </is>
      </c>
    </row>
    <row r="10">
      <c r="A10" s="10" t="inlineStr">
        <is>
          <t>S151</t>
        </is>
      </c>
      <c r="B10" s="10" t="inlineStr">
        <is>
          <t>Music Live Cambridge</t>
        </is>
      </c>
      <c r="C10" s="10" t="inlineStr">
        <is>
          <t>живой</t>
        </is>
      </c>
      <c r="D10" s="33" t="inlineStr">
        <is>
          <t>подключён</t>
        </is>
      </c>
      <c r="E10" s="10" t="n">
        <v>50</v>
      </c>
      <c r="F10" s="10" t="n">
        <v>24</v>
      </c>
      <c r="G10" s="10" t="n">
        <v>14</v>
      </c>
      <c r="H10" s="10" t="inlineStr">
        <is>
          <t>Music Live Cambridge: список концертов + iCal каждого (robots.txt разрешает, листинг стабильный)</t>
        </is>
      </c>
      <c r="I10" s="10" t="inlineStr"/>
    </row>
    <row r="11">
      <c r="A11" s="10" t="inlineStr">
        <is>
          <t>S152</t>
        </is>
      </c>
      <c r="B11" s="10" t="inlineStr">
        <is>
          <t>Find a Race — забеги в 40 км</t>
        </is>
      </c>
      <c r="C11" s="10" t="inlineStr">
        <is>
          <t>живой</t>
        </is>
      </c>
      <c r="D11" s="33" t="inlineStr">
        <is>
          <t>подключён</t>
        </is>
      </c>
      <c r="E11" s="10" t="n">
        <v>114</v>
      </c>
      <c r="F11" s="10" t="n">
        <v>110</v>
      </c>
      <c r="G11" s="10" t="n">
        <v>1</v>
      </c>
      <c r="H11" s="10" t="inlineStr">
        <is>
          <t>Find a Race: JSON-LD ItemList SportsEvent в радиусе 40 км; виртуальные забеги и «в любой день» не берутся; в выпуске — «Спорт → Поучаствовать»</t>
        </is>
      </c>
      <c r="I11" s="10" t="inlineStr">
        <is>
          <t>runabc.co.uk: обрыв соединения на robots.txt — выбран findarace; timeoutdoors.com — 403 (бот-защита)</t>
        </is>
      </c>
    </row>
    <row r="12">
      <c r="A12" s="10" t="inlineStr">
        <is>
          <t>S153</t>
        </is>
      </c>
      <c r="B12" s="10" t="inlineStr">
        <is>
          <t>Royston Museum</t>
        </is>
      </c>
      <c r="C12" s="10" t="inlineStr">
        <is>
          <t>живой</t>
        </is>
      </c>
      <c r="D12" s="33" t="inlineStr">
        <is>
          <t>подключён</t>
        </is>
      </c>
      <c r="E12" s="10" t="n">
        <v>18</v>
      </c>
      <c r="F12" s="10" t="n">
        <v>15</v>
      </c>
      <c r="G12" s="10" t="n">
        <v>4</v>
      </c>
      <c r="H12" s="10" t="inlineStr">
        <is>
          <t>Royston Museum: страница what-s-on (Wix) — название | дата | цена; TicketTailor закрыт бот-защитой</t>
        </is>
      </c>
      <c r="I12" s="10" t="inlineStr">
        <is>
          <t>S124 Royston (этап 5: «через Ents24/Skiddle») — музейные события туда не попадают</t>
        </is>
      </c>
    </row>
    <row r="13">
      <c r="A13" s="10" t="inlineStr">
        <is>
          <t>S154</t>
        </is>
      </c>
      <c r="B13" s="10" t="inlineStr">
        <is>
          <t>Cambridge United Women</t>
        </is>
      </c>
      <c r="C13" s="10" t="inlineStr">
        <is>
          <t>живой</t>
        </is>
      </c>
      <c r="D13" s="33" t="inlineStr">
        <is>
          <t>подключён</t>
        </is>
      </c>
      <c r="E13" s="10" t="n">
        <v>8</v>
      </c>
      <c r="F13" s="10" t="n">
        <v>8</v>
      </c>
      <c r="G13" s="10" t="n">
        <v>0</v>
      </c>
      <c r="H13" s="10" t="inlineStr">
        <is>
          <t>Cambridge United Women: страница фикстур клуба (FAWNL South East D1, Grange Road)</t>
        </is>
      </c>
      <c r="I13" s="10" t="inlineStr"/>
    </row>
    <row r="14">
      <c r="A14" s="10" t="inlineStr">
        <is>
          <t>S155</t>
        </is>
      </c>
      <c r="B14" s="10" t="inlineStr">
        <is>
          <t>Peterborough Phantoms (хоккей, NIHL)</t>
        </is>
      </c>
      <c r="C14" s="10" t="inlineStr">
        <is>
          <t>живой</t>
        </is>
      </c>
      <c r="D14" s="33" t="inlineStr">
        <is>
          <t>подключён</t>
        </is>
      </c>
      <c r="E14" s="10" t="n">
        <v>25</v>
      </c>
      <c r="F14" s="10" t="n">
        <v>25</v>
      </c>
      <c r="G14" s="10" t="n">
        <v>2</v>
      </c>
      <c r="H14" s="10" t="inlineStr">
        <is>
          <t>Peterborough Phantoms (NIHL): страница фикстур клуба gophantoms.co.uk</t>
        </is>
      </c>
      <c r="I14" s="10" t="inlineStr"/>
    </row>
    <row r="15">
      <c r="A15" s="10" t="inlineStr">
        <is>
          <t>S163</t>
        </is>
      </c>
      <c r="B15" s="10" t="inlineStr">
        <is>
          <t>Heong Gallery (Downing College)</t>
        </is>
      </c>
      <c r="C15" s="10" t="inlineStr">
        <is>
          <t>живой</t>
        </is>
      </c>
      <c r="D15" s="33" t="inlineStr">
        <is>
          <t>подключён</t>
        </is>
      </c>
      <c r="E15" s="10" t="n">
        <v>1</v>
      </c>
      <c r="F15" s="10" t="n">
        <v>0</v>
      </c>
      <c r="G15" s="10" t="n">
        <v>0</v>
      </c>
      <c r="H15" s="10" t="inlineStr">
        <is>
          <t>Heong Gallery (Downing College): текущая и будущие выставки</t>
        </is>
      </c>
      <c r="I15" s="10" t="inlineStr"/>
    </row>
    <row r="16">
      <c r="A16" s="10" t="inlineStr">
        <is>
          <t>S164</t>
        </is>
      </c>
      <c r="B16" s="10" t="inlineStr">
        <is>
          <t>The Women's Art Collection (Murray Edwards)</t>
        </is>
      </c>
      <c r="C16" s="10" t="inlineStr">
        <is>
          <t>живой</t>
        </is>
      </c>
      <c r="D16" s="33" t="inlineStr">
        <is>
          <t>подключён</t>
        </is>
      </c>
      <c r="E16" s="10" t="n">
        <v>3</v>
      </c>
      <c r="F16" s="10" t="n">
        <v>2</v>
      </c>
      <c r="G16" s="10" t="n">
        <v>0</v>
      </c>
      <c r="H16" s="10" t="inlineStr">
        <is>
          <t>The Women's Art Collection (Murray Edwards): выставки и кураторские лекции</t>
        </is>
      </c>
      <c r="I16" s="10" t="inlineStr"/>
    </row>
    <row r="17">
      <c r="A17" s="10" t="inlineStr">
        <is>
          <t>S165</t>
        </is>
      </c>
      <c r="B17" s="10" t="inlineStr">
        <is>
          <t>Разбор подборок («Things to do…»)</t>
        </is>
      </c>
      <c r="C17" s="10" t="inlineStr">
        <is>
          <t>живой</t>
        </is>
      </c>
      <c r="D17" s="33" t="inlineStr">
        <is>
          <t>подключён</t>
        </is>
      </c>
      <c r="E17" s="10" t="n">
        <v>0</v>
      </c>
      <c r="F17" s="10" t="n">
        <v>0</v>
      </c>
      <c r="G17" s="10" t="n">
        <v>0</v>
      </c>
      <c r="H17" s="10" t="inlineStr">
        <is>
          <t>Разбор подборок («Things to do…»): страница подборки → отдельные события → проверка на их страницах; подборка сама в выпуск не идёт</t>
        </is>
      </c>
      <c r="I17" s="10" t="inlineStr"/>
    </row>
    <row r="18">
      <c r="A18" s="10" t="inlineStr">
        <is>
          <t>S084</t>
        </is>
      </c>
      <c r="B18" s="10" t="inlineStr">
        <is>
          <t>Cambridgeshire Cats (американский футбол)</t>
        </is>
      </c>
      <c r="C18" s="10" t="inlineStr">
        <is>
          <t>не сезон</t>
        </is>
      </c>
      <c r="D18" s="32" t="inlineStr">
        <is>
          <t>не сезон</t>
        </is>
      </c>
      <c r="E18" s="10" t="n">
        <v>0</v>
      </c>
      <c r="F18" s="10" t="n">
        <v>0</v>
      </c>
      <c r="G18" s="10" t="n">
        <v>0</v>
      </c>
      <c r="H18" s="10" t="inlineStr">
        <is>
          <t>Cambridgeshire Cats (американский футбол): сезон BAFA весна–лето, в октябре игр нет — подключить к началу сезона</t>
        </is>
      </c>
      <c r="I18" s="10" t="inlineStr"/>
    </row>
    <row r="19">
      <c r="A19" s="10" t="inlineStr">
        <is>
          <t>S156</t>
        </is>
      </c>
      <c r="B19" s="10" t="inlineStr">
        <is>
          <t>Vue Cambridge (The Grafton)</t>
        </is>
      </c>
      <c r="C19" s="10" t="inlineStr">
        <is>
          <t>закрыт</t>
        </is>
      </c>
      <c r="D19" s="19" t="inlineStr">
        <is>
          <t>закрыт</t>
        </is>
      </c>
      <c r="E19" s="10" t="n">
        <v>0</v>
      </c>
      <c r="F19" s="10" t="n">
        <v>0</v>
      </c>
      <c r="G19" s="10" t="n">
        <v>0</v>
      </c>
      <c r="H19" s="10" t="inlineStr">
        <is>
          <t>Vue Cambridge: страница 403 (бот-защита)</t>
        </is>
      </c>
      <c r="I19" s="10" t="inlineStr"/>
    </row>
    <row r="20">
      <c r="A20" s="10" t="inlineStr">
        <is>
          <t>S157</t>
        </is>
      </c>
      <c r="B20" s="10" t="inlineStr">
        <is>
          <t>Light Cinema Cambridge</t>
        </is>
      </c>
      <c r="C20" s="10" t="inlineStr">
        <is>
          <t>закрыт</t>
        </is>
      </c>
      <c r="D20" s="19" t="inlineStr">
        <is>
          <t>закрыт</t>
        </is>
      </c>
      <c r="E20" s="10" t="n">
        <v>0</v>
      </c>
      <c r="F20" s="10" t="n">
        <v>0</v>
      </c>
      <c r="G20" s="10" t="n">
        <v>0</v>
      </c>
      <c r="H20" s="10" t="inlineStr">
        <is>
          <t>Light Cinema Cambridge: афиша только скриптом</t>
        </is>
      </c>
      <c r="I20" s="10" t="inlineStr"/>
    </row>
    <row r="21">
      <c r="A21" s="10" t="inlineStr">
        <is>
          <t>S158</t>
        </is>
      </c>
      <c r="B21" s="10" t="inlineStr">
        <is>
          <t>Saffron Screen</t>
        </is>
      </c>
      <c r="C21" s="10" t="inlineStr">
        <is>
          <t>закрыт</t>
        </is>
      </c>
      <c r="D21" s="19" t="inlineStr">
        <is>
          <t>закрыт</t>
        </is>
      </c>
      <c r="E21" s="10" t="n">
        <v>0</v>
      </c>
      <c r="F21" s="10" t="n">
        <v>0</v>
      </c>
      <c r="G21" s="10" t="n">
        <v>0</v>
      </c>
      <c r="H21" s="10" t="inlineStr">
        <is>
          <t>Saffron Screen: HTTP 202, заглушка бот-защиты</t>
        </is>
      </c>
      <c r="I21" s="10" t="inlineStr"/>
    </row>
    <row r="22">
      <c r="A22" s="10" t="inlineStr">
        <is>
          <t>S159</t>
        </is>
      </c>
      <c r="B22" s="10" t="inlineStr">
        <is>
          <t>Babylon Cinema, Ely</t>
        </is>
      </c>
      <c r="C22" s="10" t="inlineStr">
        <is>
          <t>закрыт</t>
        </is>
      </c>
      <c r="D22" s="19" t="inlineStr">
        <is>
          <t>закрыт</t>
        </is>
      </c>
      <c r="E22" s="10" t="n">
        <v>0</v>
      </c>
      <c r="F22" s="10" t="n">
        <v>0</v>
      </c>
      <c r="G22" s="10" t="n">
        <v>0</v>
      </c>
      <c r="H22" s="10" t="inlineStr">
        <is>
          <t>Babylon Cinema (Ely Maltings): обрыв соединения</t>
        </is>
      </c>
      <c r="I22" s="10" t="inlineStr"/>
    </row>
    <row r="23">
      <c r="A23" s="10" t="inlineStr">
        <is>
          <t>S160</t>
        </is>
      </c>
      <c r="B23" s="10" t="inlineStr">
        <is>
          <t>CURUFC — университетское регби</t>
        </is>
      </c>
      <c r="C23" s="10" t="inlineStr">
        <is>
          <t>закрыт</t>
        </is>
      </c>
      <c r="D23" s="19" t="inlineStr">
        <is>
          <t>закрыт</t>
        </is>
      </c>
      <c r="E23" s="10" t="n">
        <v>0</v>
      </c>
      <c r="F23" s="10" t="n">
        <v>0</v>
      </c>
      <c r="G23" s="10" t="n">
        <v>0</v>
      </c>
      <c r="H23" s="10" t="inlineStr">
        <is>
          <t>CURUFC (университетское регби, Grange Road): HTTP 202, заглушка</t>
        </is>
      </c>
      <c r="I23" s="10" t="inlineStr"/>
    </row>
    <row r="24">
      <c r="A24" s="10" t="inlineStr">
        <is>
          <t>S161</t>
        </is>
      </c>
      <c r="B24" s="10" t="inlineStr">
        <is>
          <t>FA Full-Time</t>
        </is>
      </c>
      <c r="C24" s="10" t="inlineStr">
        <is>
          <t>закрыт</t>
        </is>
      </c>
      <c r="D24" s="19" t="inlineStr">
        <is>
          <t>закрыт</t>
        </is>
      </c>
      <c r="E24" s="10" t="n">
        <v>0</v>
      </c>
      <c r="F24" s="10" t="n">
        <v>0</v>
      </c>
      <c r="G24" s="10" t="n">
        <v>0</v>
      </c>
      <c r="H24" s="10" t="inlineStr">
        <is>
          <t>FA Full-Time: robots.txt 403 (правил нет), страница 403 — бот-защита</t>
        </is>
      </c>
      <c r="I24" s="10" t="inlineStr"/>
    </row>
    <row r="25">
      <c r="A25" s="10" t="inlineStr">
        <is>
          <t>S166</t>
        </is>
      </c>
      <c r="B25" s="10" t="inlineStr">
        <is>
          <t>Trinity College events</t>
        </is>
      </c>
      <c r="C25" s="10" t="inlineStr">
        <is>
          <t>закрыт</t>
        </is>
      </c>
      <c r="D25" s="32" t="inlineStr">
        <is>
          <t>не нужен</t>
        </is>
      </c>
      <c r="E25" s="10" t="n">
        <v>0</v>
      </c>
      <c r="F25" s="10" t="n">
        <v>0</v>
      </c>
      <c r="G25" s="10" t="n">
        <v>0</v>
      </c>
      <c r="H25" s="10" t="inlineStr">
        <is>
          <t>Trinity College events: в JSON-LD только встречи выпускников (Лондон, Токио, Нью-Йорк), публичных событий нет</t>
        </is>
      </c>
      <c r="I25" s="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34" customWidth="1" style="11" min="1" max="1"/>
    <col width="40" customWidth="1" style="11" min="2" max="2"/>
    <col width="16" customWidth="1" style="11" min="3" max="3"/>
    <col width="50" customWidth="1" style="11" min="4" max="4"/>
    <col width="16" customWidth="1" style="11" min="5" max="5"/>
    <col width="40" customWidth="1" style="11" min="6" max="6"/>
    <col width="40" customWidth="1" style="11" min="7" max="7"/>
    <col width="20" customWidth="1" style="11" min="8" max="8"/>
    <col width="60" customWidth="1" style="11" min="9" max="9"/>
    <col width="12" customWidth="1" style="11" min="10" max="10"/>
  </cols>
  <sheetData>
    <row r="1">
      <c r="A1" s="20" t="inlineStr">
        <is>
          <t>Продавец</t>
        </is>
      </c>
      <c r="B1" s="20" t="inlineStr">
        <is>
          <t>Программа</t>
        </is>
      </c>
      <c r="C1" s="20" t="inlineStr">
        <is>
          <t>Сеть</t>
        </is>
      </c>
      <c r="D1" s="20" t="inlineStr">
        <is>
          <t>Комиссия</t>
        </is>
      </c>
      <c r="E1" s="20" t="inlineStr">
        <is>
          <t>Cookie</t>
        </is>
      </c>
      <c r="F1" s="20" t="inlineStr">
        <is>
          <t>Email разрешён</t>
        </is>
      </c>
      <c r="G1" s="20" t="inlineStr">
        <is>
          <t>Пометка</t>
        </is>
      </c>
      <c r="H1" s="20" t="inlineStr">
        <is>
          <t>Порог выплаты</t>
        </is>
      </c>
      <c r="I1" s="20" t="inlineStr">
        <is>
          <t>Источник условий</t>
        </is>
      </c>
      <c r="J1" s="20" t="inlineStr">
        <is>
          <t>Дата проверки</t>
        </is>
      </c>
    </row>
    <row r="2">
      <c r="A2" s="21" t="inlineStr">
        <is>
          <t>Ticketmaster</t>
        </is>
      </c>
      <c r="B2" s="21" t="inlineStr">
        <is>
          <t>есть — Ticketmaster Global Affiliate Program</t>
        </is>
      </c>
      <c r="C2" s="21" t="inlineStr">
        <is>
          <t>Impact</t>
        </is>
      </c>
      <c r="D2" s="21" t="inlineStr">
        <is>
          <t>в официальных материалах не указана: «local commission offering in the individual market contracts within Impact»; сторонние обзоры — 1% от цены билета (не проверено)</t>
        </is>
      </c>
      <c r="E2" s="21" t="inlineStr">
        <is>
          <t>не указан официально; сторонние обзоры — 1 день</t>
        </is>
      </c>
      <c r="F2" s="21" t="inlineStr">
        <is>
          <t>не указано; условия — в договоре Impact после одобрения</t>
        </is>
      </c>
      <c r="G2" s="21" t="inlineStr">
        <is>
          <t>не указано</t>
        </is>
      </c>
      <c r="H2" s="21" t="inlineStr">
        <is>
          <t>не указан (Impact)</t>
        </is>
      </c>
      <c r="I2" s="21" t="inlineStr">
        <is>
          <t>https://developer.ticketmaster.com/partners/distribution-partners/affiliate-sign-up/ (страница ticketmaster.co.uk/affiliates/ отвечает 403 нашему инструменту)</t>
        </is>
      </c>
      <c r="J2" s="21" t="inlineStr">
        <is>
          <t>2026-09-29</t>
        </is>
      </c>
    </row>
    <row r="3">
      <c r="A3" s="21" t="inlineStr">
        <is>
          <t>See Tickets</t>
        </is>
      </c>
      <c r="B3" s="21" t="inlineStr">
        <is>
          <t>есть — See Tickets UK</t>
        </is>
      </c>
      <c r="C3" s="21" t="inlineStr">
        <is>
          <t>Awin (ID 7816)</t>
        </is>
      </c>
      <c r="D3" s="21" t="inlineStr">
        <is>
          <t>West End — 5% от номинала без НДС; региональный театр — 2%; достопримечательности и прочие билеты — 1% (без сборов и доставки); не платится за fan-to-fan, пресейлы, события с нулевой комиссией, white-label сайты</t>
        </is>
      </c>
      <c r="E3" s="21" t="inlineStr">
        <is>
          <t>1 день</t>
        </is>
      </c>
      <c r="F3" s="21" t="inlineStr">
        <is>
          <t>не видно без входа в Awin</t>
        </is>
      </c>
      <c r="G3" s="21" t="inlineStr">
        <is>
          <t>не указано</t>
        </is>
      </c>
      <c r="H3" s="21" t="inlineStr">
        <is>
          <t>не видно без входа в Awin</t>
        </is>
      </c>
      <c r="I3" s="21" t="inlineStr">
        <is>
          <t>https://ui.awin.com/merchant-profile/7816/commission-groups</t>
        </is>
      </c>
      <c r="J3" s="21" t="inlineStr">
        <is>
          <t>2026-09-29</t>
        </is>
      </c>
    </row>
    <row r="4">
      <c r="A4" s="21" t="inlineStr">
        <is>
          <t>Eventbrite</t>
        </is>
      </c>
      <c r="B4" s="21" t="inlineStr">
        <is>
          <t>есть — Eventbrite Affiliate Program</t>
        </is>
      </c>
      <c r="C4" s="21" t="inlineStr">
        <is>
          <t>в условиях не указана (обзоры: impact.com)</t>
        </is>
      </c>
      <c r="D4" s="21" t="inlineStr">
        <is>
          <t>в условиях не указана: ставка — в Insertion Order после одобрения; база — сервисный сбор Eventbrite</t>
        </is>
      </c>
      <c r="E4" s="21" t="inlineStr">
        <is>
          <t>7 дней («within seven (7) calendar days»)</t>
        </is>
      </c>
      <c r="F4" s="21" t="inlineStr">
        <is>
          <t>ограничено: «You may not use Licensed Materials in emails and newsletters unless we provide advance written approval»</t>
        </is>
      </c>
      <c r="G4" s="21" t="inlineStr">
        <is>
          <t>обязательная фраза «As an Eventbrite Affiliate, I earn from qualifying ticket purchases…»; ориентир — правила FTC (США)</t>
        </is>
      </c>
      <c r="H4" s="21" t="inlineStr">
        <is>
          <t>не указан</t>
        </is>
      </c>
      <c r="I4" s="21" t="inlineStr">
        <is>
          <t>https://www.eventbrite.com/help/en-us/articles/328394/eventbrite-affiliate-program-terms-and-conditions/</t>
        </is>
      </c>
      <c r="J4" s="21" t="inlineStr">
        <is>
          <t>2026-09-29</t>
        </is>
      </c>
    </row>
    <row r="5">
      <c r="A5" s="21" t="inlineStr">
        <is>
          <t>Skiddle</t>
        </is>
      </c>
      <c r="B5" s="21" t="inlineStr">
        <is>
          <t>есть — Skiddle Ticket Affiliate Programme</t>
        </is>
      </c>
      <c r="C5" s="21" t="inlineStr">
        <is>
          <t>своя</t>
        </is>
      </c>
      <c r="D5" s="21" t="inlineStr">
        <is>
          <t>от 30% выручки Skiddle (сбор 10–15% номинала): ≈10–50 p за билет на клубные вечера, до £4 на крупные события</t>
        </is>
      </c>
      <c r="E5" s="21" t="inlineStr">
        <is>
          <t>30 дней</t>
        </is>
      </c>
      <c r="F5" s="21" t="inlineStr">
        <is>
          <t>разрешено: «Sell tickets from your website, newsletters, facebook group, etc»</t>
        </is>
      </c>
      <c r="G5" s="21" t="inlineStr">
        <is>
          <t>не указано</t>
        </is>
      </c>
      <c r="H5" s="21" t="inlineStr">
        <is>
          <t>порог £25, выплата в конце месяца после события</t>
        </is>
      </c>
      <c r="I5" s="21" t="inlineStr">
        <is>
          <t>https://www.skiddle.com/affiliates/ ; https://help.promotioncentre.co.uk/en/articles/9362937-the-skiddle-ticket-affiliate-programme</t>
        </is>
      </c>
      <c r="J5" s="21" t="inlineStr">
        <is>
          <t>2026-09-29</t>
        </is>
      </c>
    </row>
    <row r="6">
      <c r="A6" s="21" t="inlineStr">
        <is>
          <t>WeGotTickets</t>
        </is>
      </c>
      <c r="B6" s="21" t="inlineStr">
        <is>
          <t>есть — WeGotTickets affiliates</t>
        </is>
      </c>
      <c r="C6" s="21" t="inlineStr">
        <is>
          <t>своя (RSS/XML-фиды)</t>
        </is>
      </c>
      <c r="D6" s="21" t="inlineStr">
        <is>
          <t>не указана («Earn a commission for all sales from your referrals»); заявка через форму</t>
        </is>
      </c>
      <c r="E6" s="21" t="inlineStr">
        <is>
          <t>не указан</t>
        </is>
      </c>
      <c r="F6" s="21" t="inlineStr">
        <is>
          <t>не указано</t>
        </is>
      </c>
      <c r="G6" s="21" t="inlineStr">
        <is>
          <t>не указано</t>
        </is>
      </c>
      <c r="H6" s="21" t="inlineStr">
        <is>
          <t>не указан</t>
        </is>
      </c>
      <c r="I6" s="21" t="inlineStr">
        <is>
          <t>https://clients.wegottickets.com/affiliates.php</t>
        </is>
      </c>
      <c r="J6" s="21" t="inlineStr">
        <is>
          <t>2026-09-29</t>
        </is>
      </c>
    </row>
    <row r="7">
      <c r="A7" s="21" t="inlineStr">
        <is>
          <t>Eventim</t>
        </is>
      </c>
      <c r="B7" s="21" t="inlineStr">
        <is>
          <t>есть — Eventim UK</t>
        </is>
      </c>
      <c r="C7" s="21" t="inlineStr">
        <is>
          <t>Awin (ID 15330)</t>
        </is>
      </c>
      <c r="D7" s="21" t="inlineStr">
        <is>
          <t>1.5%</t>
        </is>
      </c>
      <c r="E7" s="21" t="inlineStr">
        <is>
          <t>30 дней</t>
        </is>
      </c>
      <c r="F7" s="21" t="inlineStr">
        <is>
          <t>не видно без входа</t>
        </is>
      </c>
      <c r="G7" s="21" t="inlineStr">
        <is>
          <t>не указано</t>
        </is>
      </c>
      <c r="H7" s="21" t="inlineStr">
        <is>
          <t>не видно без входа</t>
        </is>
      </c>
      <c r="I7" s="21" t="inlineStr">
        <is>
          <t>https://ui.awin.com/merchant-profile/15330</t>
        </is>
      </c>
      <c r="J7" s="21" t="inlineStr">
        <is>
          <t>2026-09-29</t>
        </is>
      </c>
    </row>
    <row r="8">
      <c r="A8" s="21" t="inlineStr">
        <is>
          <t>Gigantic</t>
        </is>
      </c>
      <c r="B8" s="21" t="inlineStr">
        <is>
          <t>есть (своя страница «Work with us — affiliates»); программа в Paid On Results закрыта</t>
        </is>
      </c>
      <c r="C8" s="21" t="inlineStr">
        <is>
          <t>своя</t>
        </is>
      </c>
      <c r="D8" s="21" t="inlineStr">
        <is>
          <t>не проверено: официальная страница отвечает 403 нашему инструменту</t>
        </is>
      </c>
      <c r="E8" s="21" t="inlineStr">
        <is>
          <t>не проверено</t>
        </is>
      </c>
      <c r="F8" s="21" t="inlineStr">
        <is>
          <t>не проверено</t>
        </is>
      </c>
      <c r="G8" s="21" t="inlineStr">
        <is>
          <t>не проверено</t>
        </is>
      </c>
      <c r="H8" s="21" t="inlineStr">
        <is>
          <t>не проверено</t>
        </is>
      </c>
      <c r="I8" s="21" t="inlineStr">
        <is>
          <t>https://workwithus.gigantic.com/work-with-us-affiliates (403)</t>
        </is>
      </c>
      <c r="J8" s="21" t="inlineStr">
        <is>
          <t>2026-09-29</t>
        </is>
      </c>
    </row>
    <row r="9">
      <c r="A9" s="21" t="inlineStr">
        <is>
          <t>AXS</t>
        </is>
      </c>
      <c r="B9" s="21" t="inlineStr">
        <is>
          <t>не подтверждена: UK-программа в каталогах отмечена как истёкшая</t>
        </is>
      </c>
      <c r="C9" s="21" t="inlineStr">
        <is>
          <t>Impact (по каталогам)</t>
        </is>
      </c>
      <c r="D9" s="21" t="inlineStr">
        <is>
          <t>—</t>
        </is>
      </c>
      <c r="E9" s="21" t="inlineStr">
        <is>
          <t>—</t>
        </is>
      </c>
      <c r="F9" s="21" t="inlineStr">
        <is>
          <t>—</t>
        </is>
      </c>
      <c r="G9" s="21" t="inlineStr">
        <is>
          <t>—</t>
        </is>
      </c>
      <c r="H9" s="21" t="inlineStr">
        <is>
          <t>—</t>
        </is>
      </c>
      <c r="I9" s="21" t="inlineStr">
        <is>
          <t>официальной страницы программы нет; https://affi.io/m/axs-uk (каталог)</t>
        </is>
      </c>
      <c r="J9" s="21" t="inlineStr">
        <is>
          <t>2026-09-29</t>
        </is>
      </c>
    </row>
    <row r="10">
      <c r="A10" s="21" t="inlineStr">
        <is>
          <t>DICE</t>
        </is>
      </c>
      <c r="B10" s="21" t="inlineStr">
        <is>
          <t>публичной программы нет (страница Partners — для промоутеров и площадок)</t>
        </is>
      </c>
      <c r="C10" s="21" t="inlineStr">
        <is>
          <t>—</t>
        </is>
      </c>
      <c r="D10" s="21" t="inlineStr">
        <is>
          <t>—</t>
        </is>
      </c>
      <c r="E10" s="21" t="inlineStr">
        <is>
          <t>—</t>
        </is>
      </c>
      <c r="F10" s="21" t="inlineStr">
        <is>
          <t>—</t>
        </is>
      </c>
      <c r="G10" s="21" t="inlineStr">
        <is>
          <t>—</t>
        </is>
      </c>
      <c r="H10" s="21" t="inlineStr">
        <is>
          <t>—</t>
        </is>
      </c>
      <c r="I10" s="21" t="inlineStr">
        <is>
          <t>https://dice.fm/partners</t>
        </is>
      </c>
      <c r="J10" s="21" t="inlineStr">
        <is>
          <t>2026-09-29</t>
        </is>
      </c>
    </row>
    <row r="11">
      <c r="A11" s="21" t="inlineStr">
        <is>
          <t>Fatsoma</t>
        </is>
      </c>
      <c r="B11" s="21" t="inlineStr">
        <is>
          <t>нет публичной программы: «Reps» — представители, которых нанимает организатор события и сам назначает им комиссию</t>
        </is>
      </c>
      <c r="C11" s="21" t="inlineStr">
        <is>
          <t>—</t>
        </is>
      </c>
      <c r="D11" s="21" t="inlineStr">
        <is>
          <t>задаёт организатор</t>
        </is>
      </c>
      <c r="E11" s="21" t="inlineStr">
        <is>
          <t>—</t>
        </is>
      </c>
      <c r="F11" s="21" t="inlineStr">
        <is>
          <t>—</t>
        </is>
      </c>
      <c r="G11" s="21" t="inlineStr">
        <is>
          <t>—</t>
        </is>
      </c>
      <c r="H11" s="21" t="inlineStr">
        <is>
          <t>—</t>
        </is>
      </c>
      <c r="I11" s="21" t="inlineStr">
        <is>
          <t>https://business.fatsoma.com/ticketing/f/reps</t>
        </is>
      </c>
      <c r="J11" s="21" t="inlineStr">
        <is>
          <t>2026-09-29</t>
        </is>
      </c>
    </row>
    <row r="12">
      <c r="A12" s="21" t="inlineStr">
        <is>
          <t>TicketSource</t>
        </is>
      </c>
      <c r="B12" s="21" t="inlineStr">
        <is>
          <t>нет публичной программы: организатор может помечать ссылки своих представителей (?ref=…) для учёта продаж</t>
        </is>
      </c>
      <c r="C12" s="21" t="inlineStr">
        <is>
          <t>—</t>
        </is>
      </c>
      <c r="D12" s="21" t="inlineStr">
        <is>
          <t>задаёт организатор</t>
        </is>
      </c>
      <c r="E12" s="21" t="inlineStr">
        <is>
          <t>—</t>
        </is>
      </c>
      <c r="F12" s="21" t="inlineStr">
        <is>
          <t>—</t>
        </is>
      </c>
      <c r="G12" s="21" t="inlineStr">
        <is>
          <t>—</t>
        </is>
      </c>
      <c r="H12" s="21" t="inlineStr">
        <is>
          <t>—</t>
        </is>
      </c>
      <c r="I12" s="21" t="inlineStr">
        <is>
          <t>https://www.ticketsource.co.uk/kb/marketing-and-promotion/reward-affiliates</t>
        </is>
      </c>
      <c r="J12" s="21" t="inlineStr">
        <is>
          <t>2026-09-29</t>
        </is>
      </c>
    </row>
    <row r="13">
      <c r="A13" s="21" t="inlineStr">
        <is>
          <t>Ticket Tailor</t>
        </is>
      </c>
      <c r="B13" s="21" t="inlineStr">
        <is>
          <t>только реферальная программа за привлечение организаторов (20% сборов Ticket Tailor с приведённого организатора); за продажу билетов покупателям — нет</t>
        </is>
      </c>
      <c r="C13" s="21" t="inlineStr">
        <is>
          <t>PartnerStack</t>
        </is>
      </c>
      <c r="D13" s="21" t="inlineStr">
        <is>
          <t>—</t>
        </is>
      </c>
      <c r="E13" s="21" t="inlineStr">
        <is>
          <t>—</t>
        </is>
      </c>
      <c r="F13" s="21" t="inlineStr">
        <is>
          <t>—</t>
        </is>
      </c>
      <c r="G13" s="21" t="inlineStr">
        <is>
          <t>—</t>
        </is>
      </c>
      <c r="H13" s="21" t="inlineStr">
        <is>
          <t>—</t>
        </is>
      </c>
      <c r="I13" s="21" t="inlineStr">
        <is>
          <t>https://help.tickettailor.com/en/articles/6977069-how-does-the-referral-program-work</t>
        </is>
      </c>
      <c r="J13" s="21" t="inlineStr">
        <is>
          <t>2026-09-29</t>
        </is>
      </c>
    </row>
    <row r="14">
      <c r="A14" s="21" t="inlineStr">
        <is>
          <t>The Jockey Club (Newmarket, Huntingdon)</t>
        </is>
      </c>
      <c r="B14" s="21" t="inlineStr">
        <is>
          <t>есть — Jockey Club Racecourses</t>
        </is>
      </c>
      <c r="C14" s="21" t="inlineStr">
        <is>
          <t>Awin (ID 7677)</t>
        </is>
      </c>
      <c r="D14" s="21" t="inlineStr">
        <is>
          <t>«fluctuate by festival &amp; fixture but can rise to as much as 10% on certain promotions»</t>
        </is>
      </c>
      <c r="E14" s="21" t="inlineStr">
        <is>
          <t>30 дней</t>
        </is>
      </c>
      <c r="F14" s="21" t="inlineStr">
        <is>
          <t>не видно без входа</t>
        </is>
      </c>
      <c r="G14" s="21" t="inlineStr">
        <is>
          <t>не указано</t>
        </is>
      </c>
      <c r="H14" s="21" t="inlineStr">
        <is>
          <t>не видно без входа</t>
        </is>
      </c>
      <c r="I14" s="21" t="inlineStr">
        <is>
          <t>https://ui.awin.com/merchant-profile/7677</t>
        </is>
      </c>
      <c r="J14" s="21" t="inlineStr">
        <is>
          <t>2026-09-29</t>
        </is>
      </c>
    </row>
    <row r="15">
      <c r="A15" s="21" t="inlineStr">
        <is>
          <t>National Trust</t>
        </is>
      </c>
      <c r="B15" s="21" t="inlineStr">
        <is>
          <t>есть — но на членство, магазин и отдых (Awin: Memberships 3795, Shop 3974, Holidays 12045); билеты на события — не указаны</t>
        </is>
      </c>
      <c r="C15" s="21" t="inlineStr">
        <is>
          <t>Awin</t>
        </is>
      </c>
      <c r="D15" s="21" t="inlineStr">
        <is>
          <t>по каталогам ≈5% (членство; не проверено)</t>
        </is>
      </c>
      <c r="E15" s="21" t="inlineStr">
        <is>
          <t>не проверено</t>
        </is>
      </c>
      <c r="F15" s="21" t="inlineStr">
        <is>
          <t>не проверено</t>
        </is>
      </c>
      <c r="G15" s="21" t="inlineStr">
        <is>
          <t>—</t>
        </is>
      </c>
      <c r="H15" s="21" t="inlineStr">
        <is>
          <t>—</t>
        </is>
      </c>
      <c r="I15" s="21" t="inlineStr">
        <is>
          <t>https://hub.awin.com/correct-linking-on-national-trust/ (страница программы 3795 — 404 нашему инструменту)</t>
        </is>
      </c>
      <c r="J15" s="21" t="inlineStr">
        <is>
          <t>2026-09-29</t>
        </is>
      </c>
    </row>
    <row r="16">
      <c r="A16" s="21" t="inlineStr">
        <is>
          <t>English Heritage</t>
        </is>
      </c>
      <c r="B16" s="21" t="inlineStr">
        <is>
          <t>есть — Membership (Awin 5928) и Shop (5926); билеты на события — не указаны</t>
        </is>
      </c>
      <c r="C16" s="21" t="inlineStr">
        <is>
          <t>Awin</t>
        </is>
      </c>
      <c r="D16" s="21" t="inlineStr">
        <is>
          <t>членство: 10% (кэшбэк-сайты 5%)</t>
        </is>
      </c>
      <c r="E16" s="21" t="inlineStr">
        <is>
          <t>30 дней</t>
        </is>
      </c>
      <c r="F16" s="21" t="inlineStr">
        <is>
          <t>не видно; запрещены PPC по бренду и неавторизованные коды</t>
        </is>
      </c>
      <c r="G16" s="21" t="inlineStr">
        <is>
          <t>—</t>
        </is>
      </c>
      <c r="H16" s="21" t="inlineStr">
        <is>
          <t>—</t>
        </is>
      </c>
      <c r="I16" s="21" t="inlineStr">
        <is>
          <t>https://ui.awin.com/merchant-profile/5928</t>
        </is>
      </c>
      <c r="J16" s="21" t="inlineStr">
        <is>
          <t>2026-09-29</t>
        </is>
      </c>
    </row>
    <row r="17">
      <c r="A17" s="21" t="inlineStr">
        <is>
          <t>Find a Race</t>
        </is>
      </c>
      <c r="B17" s="21" t="inlineStr">
        <is>
          <t>есть — Findarace Partner Program (портал партнёров)</t>
        </is>
      </c>
      <c r="C17" s="21" t="inlineStr">
        <is>
          <t>своя</t>
        </is>
      </c>
      <c r="D17" s="21" t="inlineStr">
        <is>
          <t>на публичной странице не указана</t>
        </is>
      </c>
      <c r="E17" s="21" t="inlineStr">
        <is>
          <t>не указан</t>
        </is>
      </c>
      <c r="F17" s="21" t="inlineStr">
        <is>
          <t>не указано</t>
        </is>
      </c>
      <c r="G17" s="21" t="inlineStr">
        <is>
          <t>не указано</t>
        </is>
      </c>
      <c r="H17" s="21" t="inlineStr">
        <is>
          <t>не указан</t>
        </is>
      </c>
      <c r="I17" s="21" t="inlineStr">
        <is>
          <t>https://partners.findarace.com/</t>
        </is>
      </c>
      <c r="J17" s="21" t="inlineStr">
        <is>
          <t>2026-09-29</t>
        </is>
      </c>
    </row>
    <row r="18">
      <c r="A18" s="21" t="inlineStr">
        <is>
          <t>Pebble</t>
        </is>
      </c>
      <c r="B18" s="21" t="inlineStr">
        <is>
          <t>только реферальная программа за привлечение провайдеров (разовая выплата после первой брони провайдера); за запись детей — нет</t>
        </is>
      </c>
      <c r="C18" s="21" t="inlineStr">
        <is>
          <t>своя</t>
        </is>
      </c>
      <c r="D18" s="21" t="inlineStr">
        <is>
          <t>—</t>
        </is>
      </c>
      <c r="E18" s="21" t="inlineStr">
        <is>
          <t>—</t>
        </is>
      </c>
      <c r="F18" s="21" t="inlineStr">
        <is>
          <t>—</t>
        </is>
      </c>
      <c r="G18" s="21" t="inlineStr">
        <is>
          <t>—</t>
        </is>
      </c>
      <c r="H18" s="21" t="inlineStr">
        <is>
          <t>—</t>
        </is>
      </c>
      <c r="I18" s="21" t="inlineStr">
        <is>
          <t>https://bookpebble.co.uk/referrals</t>
        </is>
      </c>
      <c r="J18" s="21" t="inlineStr">
        <is>
          <t>2026-09-29</t>
        </is>
      </c>
    </row>
    <row r="19">
      <c r="A19" s="21" t="inlineStr">
        <is>
          <t>Bookwhen</t>
        </is>
      </c>
      <c r="B19" s="21" t="inlineStr">
        <is>
          <t>только реферальная программа за привлечение организаторов (20% подписки 12 месяцев); за записи — нет</t>
        </is>
      </c>
      <c r="C19" s="21" t="inlineStr">
        <is>
          <t>своя</t>
        </is>
      </c>
      <c r="D19" s="21" t="inlineStr">
        <is>
          <t>—</t>
        </is>
      </c>
      <c r="E19" s="21" t="inlineStr">
        <is>
          <t>—</t>
        </is>
      </c>
      <c r="F19" s="21" t="inlineStr">
        <is>
          <t>—</t>
        </is>
      </c>
      <c r="G19" s="21" t="inlineStr">
        <is>
          <t>—</t>
        </is>
      </c>
      <c r="H19" s="21" t="inlineStr">
        <is>
          <t>—</t>
        </is>
      </c>
      <c r="I19" s="21" t="inlineStr">
        <is>
          <t>https://bookwhen.com/affiliates</t>
        </is>
      </c>
      <c r="J19" s="21" t="inlineStr">
        <is>
          <t>2026-09-29</t>
        </is>
      </c>
    </row>
    <row r="20">
      <c r="A20" s="21" t="inlineStr">
        <is>
          <t>ClassForKids</t>
        </is>
      </c>
      <c r="B20" s="21" t="inlineStr">
        <is>
          <t>по данным поиска — реферальная программа для клубов (привлечение организаторов); публичных условий нет</t>
        </is>
      </c>
      <c r="C20" s="21" t="inlineStr">
        <is>
          <t>—</t>
        </is>
      </c>
      <c r="D20" s="21" t="inlineStr">
        <is>
          <t>—</t>
        </is>
      </c>
      <c r="E20" s="21" t="inlineStr">
        <is>
          <t>—</t>
        </is>
      </c>
      <c r="F20" s="21" t="inlineStr">
        <is>
          <t>—</t>
        </is>
      </c>
      <c r="G20" s="21" t="inlineStr">
        <is>
          <t>—</t>
        </is>
      </c>
      <c r="H20" s="21" t="inlineStr">
        <is>
          <t>—</t>
        </is>
      </c>
      <c r="I20" s="21" t="inlineStr">
        <is>
          <t>https://www.classforkids.com/ (условий на сайте не найдено)</t>
        </is>
      </c>
      <c r="J20" s="21" t="inlineStr">
        <is>
          <t>2026-09-29</t>
        </is>
      </c>
    </row>
    <row r="21">
      <c r="A21" s="21" t="inlineStr">
        <is>
          <t>DigiTickets</t>
        </is>
      </c>
      <c r="B21" s="21" t="inlineStr">
        <is>
          <t>есть — партнёрская сеть DigiTickets для туристических сайтов (данные 2010 года; актуальность не подтверждена)</t>
        </is>
      </c>
      <c r="C21" s="21" t="inlineStr">
        <is>
          <t>своя</t>
        </is>
      </c>
      <c r="D21" s="21" t="inlineStr">
        <is>
          <t>не опубликована («receive commission for each ticket that is booked through your website»); условия — по запросу</t>
        </is>
      </c>
      <c r="E21" s="21" t="inlineStr">
        <is>
          <t>не указан</t>
        </is>
      </c>
      <c r="F21" s="21" t="inlineStr">
        <is>
          <t>не указано</t>
        </is>
      </c>
      <c r="G21" s="21" t="inlineStr">
        <is>
          <t>не указано</t>
        </is>
      </c>
      <c r="H21" s="21" t="inlineStr">
        <is>
          <t>не указан</t>
        </is>
      </c>
      <c r="I21" s="21" t="inlineStr">
        <is>
          <t>https://www.digitickets.co.uk/news/detail/the-affiliate-network-continues-to-grow (10.07.2010); https://www.digitickets.co.uk/partners</t>
        </is>
      </c>
      <c r="J21" s="21" t="inlineStr">
        <is>
          <t>2026-09-29</t>
        </is>
      </c>
    </row>
    <row r="22">
      <c r="A22" s="21" t="inlineStr">
        <is>
          <t>Кассы площадок (Spektrix, Cambridge Live, Ticketsolve, своя касса)</t>
        </is>
      </c>
      <c r="B22" s="21" t="inlineStr">
        <is>
          <t>нет: кассовые системы продают билеты от имени площадки; партнёрских программ для покупателей не найдено</t>
        </is>
      </c>
      <c r="C22" s="21" t="inlineStr">
        <is>
          <t>—</t>
        </is>
      </c>
      <c r="D22" s="21" t="inlineStr">
        <is>
          <t>—</t>
        </is>
      </c>
      <c r="E22" s="21" t="inlineStr">
        <is>
          <t>—</t>
        </is>
      </c>
      <c r="F22" s="21" t="inlineStr">
        <is>
          <t>—</t>
        </is>
      </c>
      <c r="G22" s="21" t="inlineStr">
        <is>
          <t>—</t>
        </is>
      </c>
      <c r="H22" s="21" t="inlineStr">
        <is>
          <t>—</t>
        </is>
      </c>
      <c r="I22" s="21" t="inlineStr">
        <is>
          <t>поиск по названиям систем и площадок (Cambridge Arts Theatre, ADC, Corn Exchange) — программ не найдено</t>
        </is>
      </c>
      <c r="J22" s="21" t="inlineStr">
        <is>
          <t>2026-09-29</t>
        </is>
      </c>
    </row>
    <row r="23">
      <c r="A23" s="21" t="inlineStr">
        <is>
          <t>Клубы (eTicketing / SECUTIX), Planet Ice, IWM, университетские музеи</t>
        </is>
      </c>
      <c r="B23" s="21" t="inlineStr">
        <is>
          <t>не найдено</t>
        </is>
      </c>
      <c r="C23" s="21" t="inlineStr">
        <is>
          <t>—</t>
        </is>
      </c>
      <c r="D23" s="21" t="inlineStr">
        <is>
          <t>—</t>
        </is>
      </c>
      <c r="E23" s="21" t="inlineStr">
        <is>
          <t>—</t>
        </is>
      </c>
      <c r="F23" s="21" t="inlineStr">
        <is>
          <t>—</t>
        </is>
      </c>
      <c r="G23" s="21" t="inlineStr">
        <is>
          <t>—</t>
        </is>
      </c>
      <c r="H23" s="21" t="inlineStr">
        <is>
          <t>—</t>
        </is>
      </c>
      <c r="I23" s="21" t="inlineStr">
        <is>
          <t>поиск (IWM — только членство и спонсорство)</t>
        </is>
      </c>
      <c r="J23" s="21" t="inlineStr">
        <is>
          <t>2026-09-29</t>
        </is>
      </c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</row>
    <row r="25">
      <c r="A25" s="35" t="inlineStr">
        <is>
          <t>Принципы подключения (зафиксированы на этапе 6d)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</row>
    <row r="26">
      <c r="A26" s="21" t="inlineStr">
        <is>
          <t>Комиссия не влияет на отбор и порядок пунктов выпуска.</t>
        </is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>
      <c r="A27" s="21" t="inlineStr">
        <is>
          <t>Ссылку не менять на другого продавца ради комиссии: партнёрской может быть только ссылка на того же продавца, у которого площадка и так продаёт билеты.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</row>
    <row r="28">
      <c r="A28" s="21" t="inlineStr">
        <is>
          <t>Партнёрские ссылки помечать в письме по правилам ASA/CAP: метка «Ad» (в русской версии — «Реклама») у каждой партнёрской ссылки, до ссылки и заметно; «affiliate» отдельно и «may earn a commission» — недостаточно (https://www.asa.org.uk/advice-online/affiliate-marketing.html). Отдельных указаний по письмам нет — формулировку подтвердить перед подключением.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</row>
    <row r="29">
      <c r="A29" s="21" t="inlineStr">
        <is>
          <t>Программы, где трафик из рассылок запрещён или требует согласия (Eventbrite), — только с письменным разрешением.</t>
        </is>
      </c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</row>
    <row r="31">
      <c r="A31" s="35" t="inlineStr">
        <is>
          <t>Итоги (data/monetization_6d.json)</t>
        </is>
      </c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</row>
    <row r="32">
      <c r="A32" s="21" t="inlineStr">
        <is>
          <t>События окна: 296; продавец определён — 57%; ведут к продавцу с программой — 28% (с учётом важности — 24%)</t>
        </is>
      </c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</row>
    <row r="33">
      <c r="A33" s="21" t="inlineStr">
        <is>
          <t>Пункты v5: 37; к продавцу с программой — 24% (с учётом важности — 23%); где email разрешён — 0%</t>
        </is>
      </c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</row>
    <row r="34">
      <c r="A34" s="21" t="inlineStr">
        <is>
          <t>Пункты v6: 39; к продавцу с программой — 26% (с учётом важности — 24%); где email разрешён — 0%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</row>
    <row r="35">
      <c r="A35" s="21" t="inlineStr">
        <is>
          <t>Пункты v7: 45; к продавцу с программой — 18% (с учётом важности — 15%); где email разрешён — 0%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</row>
    <row r="36">
      <c r="A36" s="21" t="inlineStr">
        <is>
          <t>Доход на 1000 подписчиков в месяц, по пунктам выпуска, low: £0.6 (215 переходов, 4.3 заказов)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</row>
    <row r="37">
      <c r="A37" s="21" t="inlineStr">
        <is>
          <t>Доход на 1000 подписчиков в месяц, по пунктам выпуска, base: £3.1 (430 переходов, 17.2 заказов)</t>
        </is>
      </c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</row>
    <row r="38">
      <c r="A38" s="21" t="inlineStr">
        <is>
          <t>Доход на 1000 подписчиков в месяц, по пунктам выпуска, high: £12.38 (860 переходов, 51.6 заказов)</t>
        </is>
      </c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</row>
    <row r="39">
      <c r="A39" s="21" t="inlineStr">
        <is>
          <t>Доход на 1000 подписчиков в месяц, по событиям окна, low: £0.56 (215 переходов, 4.3 заказов)</t>
        </is>
      </c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</row>
    <row r="40">
      <c r="A40" s="21" t="inlineStr">
        <is>
          <t>Доход на 1000 подписчиков в месяц, по событиям окна, base: £2.86 (430 переходов, 17.2 заказов)</t>
        </is>
      </c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</row>
    <row r="41">
      <c r="A41" s="21" t="inlineStr">
        <is>
          <t>Доход на 1000 подписчиков в месяц, по событиям окна, high: £11.46 (860 переходов, 51.6 заказов)</t>
        </is>
      </c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8" customWidth="1" style="11" min="1" max="1"/>
    <col width="42" customWidth="1" style="11" min="2" max="2"/>
    <col width="50" customWidth="1" style="11" min="3" max="3"/>
    <col width="24" customWidth="1" style="11" min="4" max="4"/>
    <col width="12" customWidth="1" style="11" min="5" max="5"/>
    <col width="16" customWidth="1" style="11" min="6" max="6"/>
    <col width="16" customWidth="1" style="11" min="7" max="7"/>
    <col width="30" customWidth="1" style="11" min="8" max="8"/>
    <col width="60" customWidth="1" style="11" min="9" max="9"/>
  </cols>
  <sheetData>
    <row r="1">
      <c r="A1" s="20" t="inlineStr">
        <is>
          <t>Колледж</t>
        </is>
      </c>
      <c r="B1" s="20" t="inlineStr">
        <is>
          <t>Страница публичных событий</t>
        </is>
      </c>
      <c r="C1" s="20" t="inlineStr">
        <is>
          <t>Что там</t>
        </is>
      </c>
      <c r="D1" s="20" t="inlineStr">
        <is>
          <t>Фид</t>
        </is>
      </c>
      <c r="E1" s="20" t="inlineStr">
        <is>
          <t>robots.txt</t>
        </is>
      </c>
      <c r="F1" s="20" t="inlineStr">
        <is>
          <t>До: событий за 60 дн. назад / вперёд</t>
        </is>
      </c>
      <c r="G1" s="20" t="inlineStr">
        <is>
          <t>После: за 60 дн. назад / вперёд</t>
        </is>
      </c>
      <c r="H1" s="20" t="inlineStr">
        <is>
          <t>Источники</t>
        </is>
      </c>
      <c r="I1" s="20" t="inlineStr">
        <is>
          <t>Решение</t>
        </is>
      </c>
    </row>
    <row r="2">
      <c r="A2" s="21" t="inlineStr">
        <is>
          <t>Christ's</t>
        </is>
      </c>
      <c r="B2" s="21" t="inlineStr">
        <is>
          <t>christs.cam.ac.uk/events</t>
        </is>
      </c>
      <c r="C2" s="21" t="inlineStr">
        <is>
          <t>только встречи выпускников; сады и выставка библиотеки — часы посещения</t>
        </is>
      </c>
      <c r="D2" s="21" t="inlineStr">
        <is>
          <t>—</t>
        </is>
      </c>
      <c r="E2" s="21" t="inlineStr">
        <is>
          <t>разрешено</t>
        </is>
      </c>
      <c r="F2" s="21" t="inlineStr">
        <is>
          <t>0 / 0</t>
        </is>
      </c>
      <c r="G2" s="21" t="inlineStr">
        <is>
          <t>0 / 0</t>
        </is>
      </c>
      <c r="H2" s="21" t="inlineStr">
        <is>
          <t>—</t>
        </is>
      </c>
      <c r="I2" s="21" t="inlineStr">
        <is>
          <t>публичной афиши нет — не подключаем</t>
        </is>
      </c>
    </row>
    <row r="3">
      <c r="A3" s="21" t="inlineStr">
        <is>
          <t>Churchill</t>
        </is>
      </c>
      <c r="B3" s="21" t="inlineStr">
        <is>
          <t>chu.cam.ac.uk/events/list/ + archives.chu.cam.ac.uk/events/</t>
        </is>
      </c>
      <c r="C3" s="21" t="inlineStr">
        <is>
          <t>лекции Archives Centre (Roskill Lecture), события колледжа, выпускники</t>
        </is>
      </c>
      <c r="D3" s="21" t="inlineStr">
        <is>
          <t>iCal, JSON-LD (The Events Calendar)</t>
        </is>
      </c>
      <c r="E3" s="21" t="inlineStr">
        <is>
          <t>разрешено</t>
        </is>
      </c>
      <c r="F3" s="21" t="inlineStr">
        <is>
          <t>0 / 2</t>
        </is>
      </c>
      <c r="G3" s="21" t="inlineStr">
        <is>
          <t>0 / 4</t>
        </is>
      </c>
      <c r="H3" s="21" t="inlineStr">
        <is>
          <t>S008, S150, S169</t>
        </is>
      </c>
      <c r="I3" s="21" t="inlineStr">
        <is>
          <t>подключён S169 (публичные, без выпускников)</t>
        </is>
      </c>
    </row>
    <row r="4">
      <c r="A4" s="21" t="inlineStr">
        <is>
          <t>Clare</t>
        </is>
      </c>
      <c r="B4" s="21" t="inlineStr">
        <is>
          <t>clare.cam.ac.uk/alumni/events</t>
        </is>
      </c>
      <c r="C4" s="21" t="inlineStr">
        <is>
          <t>выпускники; концерты хора — на clarecollegechoir.com</t>
        </is>
      </c>
      <c r="D4" s="21" t="inlineStr">
        <is>
          <t>—</t>
        </is>
      </c>
      <c r="E4" s="21" t="inlineStr">
        <is>
          <t>разрешено</t>
        </is>
      </c>
      <c r="F4" s="21" t="inlineStr">
        <is>
          <t>0 / 2</t>
        </is>
      </c>
      <c r="G4" s="21" t="inlineStr">
        <is>
          <t>0 / 2</t>
        </is>
      </c>
      <c r="H4" s="21" t="inlineStr">
        <is>
          <t>S008, S048, S150, S170</t>
        </is>
      </c>
      <c r="I4" s="21" t="inlineStr">
        <is>
          <t>концерты — через cmp.cam.ac.uk (S150); сайт хора — обрыв соединения</t>
        </is>
      </c>
    </row>
    <row r="5">
      <c r="A5" s="21" t="inlineStr">
        <is>
          <t>Clare Hall</t>
        </is>
      </c>
      <c r="B5" s="21" t="inlineStr">
        <is>
          <t>clarehall.cam.ac.uk/events/</t>
        </is>
      </c>
      <c r="C5" s="21" t="inlineStr">
        <is>
          <t>лекции (Tanner, Ashby), концерты, выставки</t>
        </is>
      </c>
      <c r="D5" s="21" t="inlineStr">
        <is>
          <t>RSS</t>
        </is>
      </c>
      <c r="E5" s="21" t="inlineStr">
        <is>
          <t>разрешено</t>
        </is>
      </c>
      <c r="F5" s="21" t="inlineStr">
        <is>
          <t>1 / 2</t>
        </is>
      </c>
      <c r="G5" s="21" t="inlineStr">
        <is>
          <t>1 / 8</t>
        </is>
      </c>
      <c r="H5" s="21" t="inlineStr">
        <is>
          <t>S048, S150, S170</t>
        </is>
      </c>
      <c r="I5" s="21" t="inlineStr">
        <is>
          <t>подключён S170</t>
        </is>
      </c>
    </row>
    <row r="6">
      <c r="A6" s="21" t="inlineStr">
        <is>
          <t>Corpus Christi</t>
        </is>
      </c>
      <c r="B6" s="21" t="inlineStr">
        <is>
          <t>corpus.cam.ac.uk/events</t>
        </is>
      </c>
      <c r="C6" s="21" t="inlineStr">
        <is>
          <t>заглушка Sucuri</t>
        </is>
      </c>
      <c r="D6" s="21" t="inlineStr">
        <is>
          <t>—</t>
        </is>
      </c>
      <c r="E6" s="21" t="inlineStr">
        <is>
          <t>разрешено</t>
        </is>
      </c>
      <c r="F6" s="21" t="inlineStr">
        <is>
          <t>0 / 2</t>
        </is>
      </c>
      <c r="G6" s="21" t="inlineStr">
        <is>
          <t>1 / 18</t>
        </is>
      </c>
      <c r="H6" s="21" t="inlineStr">
        <is>
          <t>S008, S150, S168</t>
        </is>
      </c>
      <c r="I6" s="21" t="inlineStr">
        <is>
          <t>закрыт бот-защитой; Corpus Playroom — через Camdram (S168), концерты — S150</t>
        </is>
      </c>
    </row>
    <row r="7">
      <c r="A7" s="21" t="inlineStr">
        <is>
          <t>Darwin</t>
        </is>
      </c>
      <c r="B7" s="21" t="inlineStr">
        <is>
          <t>darwin.cam.ac.uk/lectures</t>
        </is>
      </c>
      <c r="C7" s="21" t="inlineStr">
        <is>
          <t>Darwin College Lecture Series (Lent)</t>
        </is>
      </c>
      <c r="D7" s="21" t="inlineStr">
        <is>
          <t>—</t>
        </is>
      </c>
      <c r="E7" s="21" t="inlineStr">
        <is>
          <t>разрешено</t>
        </is>
      </c>
      <c r="F7" s="21" t="inlineStr">
        <is>
          <t>0 / 0</t>
        </is>
      </c>
      <c r="G7" s="21" t="inlineStr">
        <is>
          <t>0 / 0</t>
        </is>
      </c>
      <c r="H7" s="21" t="inlineStr">
        <is>
          <t>—</t>
        </is>
      </c>
      <c r="I7" s="21" t="inlineStr">
        <is>
          <t>покрыт talks.cam (список 5358, S047)</t>
        </is>
      </c>
    </row>
    <row r="8">
      <c r="A8" s="21" t="inlineStr">
        <is>
          <t>Downing</t>
        </is>
      </c>
      <c r="B8" s="21" t="inlineStr">
        <is>
          <t>dow.cam.ac.uk/about/events</t>
        </is>
      </c>
      <c r="C8" s="21" t="inlineStr">
        <is>
          <t>заглушка Sucuri (с перерывами)</t>
        </is>
      </c>
      <c r="D8" s="21" t="inlineStr">
        <is>
          <t>—</t>
        </is>
      </c>
      <c r="E8" s="21" t="inlineStr">
        <is>
          <t>разрешено</t>
        </is>
      </c>
      <c r="F8" s="21" t="inlineStr">
        <is>
          <t>0 / 0</t>
        </is>
      </c>
      <c r="G8" s="21" t="inlineStr">
        <is>
          <t>0 / 4</t>
        </is>
      </c>
      <c r="H8" s="21" t="inlineStr">
        <is>
          <t>S067, S168</t>
        </is>
      </c>
      <c r="I8" s="21" t="inlineStr">
        <is>
          <t>Heong Gallery — S163; Howard Theatre — Camdram (S168); сады — NGS (S067)</t>
        </is>
      </c>
    </row>
    <row r="9">
      <c r="A9" s="21" t="inlineStr">
        <is>
          <t>Emmanuel</t>
        </is>
      </c>
      <c r="B9" s="21" t="inlineStr">
        <is>
          <t>emma.cam.ac.uk/members/events</t>
        </is>
      </c>
      <c r="C9" s="21" t="inlineStr">
        <is>
          <t>только выпускники (Emmanuel Society)</t>
        </is>
      </c>
      <c r="D9" s="21" t="inlineStr">
        <is>
          <t>—</t>
        </is>
      </c>
      <c r="E9" s="21" t="inlineStr">
        <is>
          <t>разрешено</t>
        </is>
      </c>
      <c r="F9" s="21" t="inlineStr">
        <is>
          <t>0 / 6</t>
        </is>
      </c>
      <c r="G9" s="21" t="inlineStr">
        <is>
          <t>0 / 6</t>
        </is>
      </c>
      <c r="H9" s="21" t="inlineStr">
        <is>
          <t>S048, S150</t>
        </is>
      </c>
      <c r="I9" s="21" t="inlineStr">
        <is>
          <t>не подключаем; концерты ECMS — S150</t>
        </is>
      </c>
    </row>
    <row r="10">
      <c r="A10" s="21" t="inlineStr">
        <is>
          <t>Fitzwilliam</t>
        </is>
      </c>
      <c r="B10" s="21" t="inlineStr">
        <is>
          <t>fitz.cam.ac.uk/listing/whats-on</t>
        </is>
      </c>
      <c r="C10" s="21" t="inlineStr">
        <is>
          <t>без дат (выпускники)</t>
        </is>
      </c>
      <c r="D10" s="21" t="inlineStr">
        <is>
          <t>—</t>
        </is>
      </c>
      <c r="E10" s="21" t="inlineStr">
        <is>
          <t>разрешено</t>
        </is>
      </c>
      <c r="F10" s="21" t="inlineStr">
        <is>
          <t>0 / 0</t>
        </is>
      </c>
      <c r="G10" s="21" t="inlineStr">
        <is>
          <t>0 / 0</t>
        </is>
      </c>
      <c r="H10" s="21" t="inlineStr">
        <is>
          <t>—</t>
        </is>
      </c>
      <c r="I10" s="21" t="inlineStr">
        <is>
          <t>публичной афиши нет</t>
        </is>
      </c>
    </row>
    <row r="11">
      <c r="A11" s="21" t="inlineStr">
        <is>
          <t>Girton</t>
        </is>
      </c>
      <c r="B11" s="21" t="inlineStr">
        <is>
          <t>girton.cam.ac.uk/upcoming-events</t>
        </is>
      </c>
      <c r="C11" s="21" t="inlineStr">
        <is>
          <t>концерты, лекции; выпускники</t>
        </is>
      </c>
      <c r="D11" s="21" t="inlineStr">
        <is>
          <t>—</t>
        </is>
      </c>
      <c r="E11" s="21" t="inlineStr">
        <is>
          <t>разрешено</t>
        </is>
      </c>
      <c r="F11" s="21" t="inlineStr">
        <is>
          <t>0 / 1</t>
        </is>
      </c>
      <c r="G11" s="21" t="inlineStr">
        <is>
          <t>0 / 5</t>
        </is>
      </c>
      <c r="H11" s="21" t="inlineStr">
        <is>
          <t>S150, S174</t>
        </is>
      </c>
      <c r="I11" s="21" t="inlineStr">
        <is>
          <t>подключён S174</t>
        </is>
      </c>
    </row>
    <row r="12">
      <c r="A12" s="21" t="inlineStr">
        <is>
          <t>Gonville &amp; Caius</t>
        </is>
      </c>
      <c r="B12" s="21" t="inlineStr">
        <is>
          <t>cai.cam.ac.uk</t>
        </is>
      </c>
      <c r="C12" s="21" t="inlineStr">
        <is>
          <t>заглушка Sucuri; хор — gonvilleandcaiuschoir.com (обрыв)</t>
        </is>
      </c>
      <c r="D12" s="21" t="inlineStr">
        <is>
          <t>—</t>
        </is>
      </c>
      <c r="E12" s="21" t="inlineStr">
        <is>
          <t>разрешено</t>
        </is>
      </c>
      <c r="F12" s="21" t="inlineStr">
        <is>
          <t>0 / 0</t>
        </is>
      </c>
      <c r="G12" s="21" t="inlineStr">
        <is>
          <t>0 / 0</t>
        </is>
      </c>
      <c r="H12" s="21" t="inlineStr">
        <is>
          <t>—</t>
        </is>
      </c>
      <c r="I12" s="21" t="inlineStr">
        <is>
          <t>закрыт бот-защитой</t>
        </is>
      </c>
    </row>
    <row r="13">
      <c r="A13" s="21" t="inlineStr">
        <is>
          <t>Homerton</t>
        </is>
      </c>
      <c r="B13" s="21" t="inlineStr">
        <is>
          <t>homerton.cam.ac.uk/current-members/events</t>
        </is>
      </c>
      <c r="C13" s="21" t="inlineStr">
        <is>
          <t>заглушка Sucuri</t>
        </is>
      </c>
      <c r="D13" s="21" t="inlineStr">
        <is>
          <t>—</t>
        </is>
      </c>
      <c r="E13" s="21" t="inlineStr">
        <is>
          <t>разрешено</t>
        </is>
      </c>
      <c r="F13" s="21" t="inlineStr">
        <is>
          <t>0 / 1</t>
        </is>
      </c>
      <c r="G13" s="21" t="inlineStr">
        <is>
          <t>0 / 1</t>
        </is>
      </c>
      <c r="H13" s="21" t="inlineStr">
        <is>
          <t>S008</t>
        </is>
      </c>
      <c r="I13" s="21" t="inlineStr">
        <is>
          <t>закрыт бот-защитой</t>
        </is>
      </c>
    </row>
    <row r="14">
      <c r="A14" s="21" t="inlineStr">
        <is>
          <t>Hughes Hall</t>
        </is>
      </c>
      <c r="B14" s="21" t="inlineStr">
        <is>
          <t>hughes.cam.ac.uk/about/events/</t>
        </is>
      </c>
      <c r="C14" s="21" t="inlineStr">
        <is>
          <t>в основном для студентов; публичные — Lightning Talks, ярмарки</t>
        </is>
      </c>
      <c r="D14" s="21" t="inlineStr">
        <is>
          <t>—</t>
        </is>
      </c>
      <c r="E14" s="21" t="inlineStr">
        <is>
          <t>разрешено</t>
        </is>
      </c>
      <c r="F14" s="21" t="inlineStr">
        <is>
          <t>0 / 1</t>
        </is>
      </c>
      <c r="G14" s="21" t="inlineStr">
        <is>
          <t>0 / 3</t>
        </is>
      </c>
      <c r="H14" s="21" t="inlineStr">
        <is>
          <t>S150, S175</t>
        </is>
      </c>
      <c r="I14" s="21" t="inlineStr">
        <is>
          <t>подключён S175 (только публичные)</t>
        </is>
      </c>
    </row>
    <row r="15">
      <c r="A15" s="21" t="inlineStr">
        <is>
          <t>Jesus</t>
        </is>
      </c>
      <c r="B15" s="21" t="inlineStr">
        <is>
          <t>jesus.cam.ac.uk/college/events</t>
        </is>
      </c>
      <c r="C15" s="21" t="inlineStr">
        <is>
          <t>редирект-петля 307 (бот-защита)</t>
        </is>
      </c>
      <c r="D15" s="21" t="inlineStr">
        <is>
          <t>—</t>
        </is>
      </c>
      <c r="E15" s="21" t="inlineStr">
        <is>
          <t>разрешено</t>
        </is>
      </c>
      <c r="F15" s="21" t="inlineStr">
        <is>
          <t>0 / 2</t>
        </is>
      </c>
      <c r="G15" s="21" t="inlineStr">
        <is>
          <t>0 / 2</t>
        </is>
      </c>
      <c r="H15" s="21" t="inlineStr">
        <is>
          <t>S150</t>
        </is>
      </c>
      <c r="I15" s="21" t="inlineStr">
        <is>
          <t>закрыт; spoken word и концерты — S150</t>
        </is>
      </c>
    </row>
    <row r="16">
      <c r="A16" s="21" t="inlineStr">
        <is>
          <t>King's</t>
        </is>
      </c>
      <c r="B16" s="21" t="inlineStr">
        <is>
          <t>kingscollegechoir.com/concert/</t>
        </is>
      </c>
      <c r="C16" s="21" t="inlineStr">
        <is>
          <t>концерты хора, органная серия; лекции — talks.cam</t>
        </is>
      </c>
      <c r="D16" s="21" t="inlineStr">
        <is>
          <t>—</t>
        </is>
      </c>
      <c r="E16" s="21" t="inlineStr">
        <is>
          <t>разрешено</t>
        </is>
      </c>
      <c r="F16" s="21" t="inlineStr">
        <is>
          <t>1 / 9</t>
        </is>
      </c>
      <c r="G16" s="21" t="inlineStr">
        <is>
          <t>1 / 9</t>
        </is>
      </c>
      <c r="H16" s="21" t="inlineStr">
        <is>
          <t>S047, S092, S148, S149</t>
        </is>
      </c>
      <c r="I16" s="21" t="inlineStr">
        <is>
          <t>покрыт S149 (хор) и S047</t>
        </is>
      </c>
    </row>
    <row r="17">
      <c r="A17" s="21" t="inlineStr">
        <is>
          <t>Lucy Cavendish</t>
        </is>
      </c>
      <c r="B17" s="21" t="inlineStr">
        <is>
          <t>lucy.cam.ac.uk/events</t>
        </is>
      </c>
      <c r="C17" s="21" t="inlineStr">
        <is>
          <t>лекции, панели, выставки</t>
        </is>
      </c>
      <c r="D17" s="21" t="inlineStr">
        <is>
          <t>—</t>
        </is>
      </c>
      <c r="E17" s="21" t="inlineStr">
        <is>
          <t>разрешено</t>
        </is>
      </c>
      <c r="F17" s="21" t="inlineStr">
        <is>
          <t>0 / 0</t>
        </is>
      </c>
      <c r="G17" s="21" t="inlineStr">
        <is>
          <t>0 / 1</t>
        </is>
      </c>
      <c r="H17" s="21" t="inlineStr">
        <is>
          <t>S171</t>
        </is>
      </c>
      <c r="I17" s="21" t="inlineStr">
        <is>
          <t>подключён S171</t>
        </is>
      </c>
    </row>
    <row r="18">
      <c r="A18" s="21" t="inlineStr">
        <is>
          <t>Magdalene</t>
        </is>
      </c>
      <c r="B18" s="21" t="inlineStr">
        <is>
          <t>magd.cam.ac.uk/about/events</t>
        </is>
      </c>
      <c r="C18" s="21" t="inlineStr">
        <is>
          <t>только выпускники и первокурсники</t>
        </is>
      </c>
      <c r="D18" s="21" t="inlineStr">
        <is>
          <t>—</t>
        </is>
      </c>
      <c r="E18" s="21" t="inlineStr">
        <is>
          <t>разрешено</t>
        </is>
      </c>
      <c r="F18" s="21" t="inlineStr">
        <is>
          <t>0 / 0</t>
        </is>
      </c>
      <c r="G18" s="21" t="inlineStr">
        <is>
          <t>0 / 0</t>
        </is>
      </c>
      <c r="H18" s="21" t="inlineStr">
        <is>
          <t>—</t>
        </is>
      </c>
      <c r="I18" s="21" t="inlineStr">
        <is>
          <t>публичной афиши нет; Pepys Library — часы посещения</t>
        </is>
      </c>
    </row>
    <row r="19">
      <c r="A19" s="21" t="inlineStr">
        <is>
          <t>Murray Edwards</t>
        </is>
      </c>
      <c r="B19" s="21" t="inlineStr">
        <is>
          <t>murrayedwards.cam.ac.uk/news-events</t>
        </is>
      </c>
      <c r="C19" s="21" t="inlineStr">
        <is>
          <t>заглушка Sucuri</t>
        </is>
      </c>
      <c r="D19" s="21" t="inlineStr">
        <is>
          <t>—</t>
        </is>
      </c>
      <c r="E19" s="21" t="inlineStr">
        <is>
          <t>разрешено</t>
        </is>
      </c>
      <c r="F19" s="21" t="inlineStr">
        <is>
          <t>1 / 1</t>
        </is>
      </c>
      <c r="G19" s="21" t="inlineStr">
        <is>
          <t>1 / 1</t>
        </is>
      </c>
      <c r="H19" s="21" t="inlineStr">
        <is>
          <t>S001, S164</t>
        </is>
      </c>
      <c r="I19" s="21" t="inlineStr">
        <is>
          <t>The Women's Art Collection — S164</t>
        </is>
      </c>
    </row>
    <row r="20">
      <c r="A20" s="21" t="inlineStr">
        <is>
          <t>Newnham</t>
        </is>
      </c>
      <c r="B20" s="21" t="inlineStr">
        <is>
          <t>newn.cam.ac.uk/events-alumnae</t>
        </is>
      </c>
      <c r="C20" s="21" t="inlineStr">
        <is>
          <t>только выпускницы; сады — по записи</t>
        </is>
      </c>
      <c r="D20" s="21" t="inlineStr">
        <is>
          <t>—</t>
        </is>
      </c>
      <c r="E20" s="21" t="inlineStr">
        <is>
          <t>разрешено</t>
        </is>
      </c>
      <c r="F20" s="21" t="inlineStr">
        <is>
          <t>0 / 2</t>
        </is>
      </c>
      <c r="G20" s="21" t="inlineStr">
        <is>
          <t>0 / 2</t>
        </is>
      </c>
      <c r="H20" s="21" t="inlineStr">
        <is>
          <t>S008, S150</t>
        </is>
      </c>
      <c r="I20" s="21" t="inlineStr">
        <is>
          <t>публичной афиши нет; концерты — S150</t>
        </is>
      </c>
    </row>
    <row r="21">
      <c r="A21" s="21" t="inlineStr">
        <is>
          <t>Pembroke</t>
        </is>
      </c>
      <c r="B21" s="21" t="inlineStr">
        <is>
          <t>pem.cam.ac.uk/college/events/all</t>
        </is>
      </c>
      <c r="C21" s="21" t="inlineStr">
        <is>
          <t>307 (бот-защита)</t>
        </is>
      </c>
      <c r="D21" s="21" t="inlineStr">
        <is>
          <t>—</t>
        </is>
      </c>
      <c r="E21" s="21" t="inlineStr">
        <is>
          <t>главная: HTTP 307 https://www.pem.cam.ac.uk/</t>
        </is>
      </c>
      <c r="F21" s="21" t="inlineStr">
        <is>
          <t>0 / 6</t>
        </is>
      </c>
      <c r="G21" s="21" t="inlineStr">
        <is>
          <t>0 / 7</t>
        </is>
      </c>
      <c r="H21" s="21" t="inlineStr">
        <is>
          <t>S008, S091, S150, S168</t>
        </is>
      </c>
      <c r="I21" s="21" t="inlineStr">
        <is>
          <t>закрыт; Bliss Song Series — S150, S091; New Cellars — Camdram</t>
        </is>
      </c>
    </row>
    <row r="22">
      <c r="A22" s="21" t="inlineStr">
        <is>
          <t>Peterhouse</t>
        </is>
      </c>
      <c r="B22" s="21" t="inlineStr">
        <is>
          <t>pet.cam.ac.uk/music-peterhouse</t>
        </is>
      </c>
      <c r="C22" s="21" t="inlineStr">
        <is>
          <t>музыка без дат; часть сайта закрыта robots.txt</t>
        </is>
      </c>
      <c r="D22" s="21" t="inlineStr">
        <is>
          <t>—</t>
        </is>
      </c>
      <c r="E22" s="21" t="inlineStr">
        <is>
          <t>разрешено</t>
        </is>
      </c>
      <c r="F22" s="21" t="inlineStr">
        <is>
          <t>0 / 0</t>
        </is>
      </c>
      <c r="G22" s="21" t="inlineStr">
        <is>
          <t>0 / 0</t>
        </is>
      </c>
      <c r="H22" s="21" t="inlineStr">
        <is>
          <t>—</t>
        </is>
      </c>
      <c r="I22" s="21" t="inlineStr">
        <is>
          <t>публичной афиши нет</t>
        </is>
      </c>
    </row>
    <row r="23">
      <c r="A23" s="21" t="inlineStr">
        <is>
          <t>Queens'</t>
        </is>
      </c>
      <c r="B23" s="21" t="inlineStr">
        <is>
          <t>queens.cam.ac.uk</t>
        </is>
      </c>
      <c r="C23" s="21" t="inlineStr">
        <is>
          <t>202 — проверка бот-защиты</t>
        </is>
      </c>
      <c r="D23" s="21" t="inlineStr">
        <is>
          <t>—</t>
        </is>
      </c>
      <c r="E23" s="21" t="inlineStr">
        <is>
          <t>главная: HTTP 202 https://www.queens.cam.ac.uk/</t>
        </is>
      </c>
      <c r="F23" s="21" t="inlineStr">
        <is>
          <t>0 / 2</t>
        </is>
      </c>
      <c r="G23" s="21" t="inlineStr">
        <is>
          <t>0 / 8</t>
        </is>
      </c>
      <c r="H23" s="21" t="inlineStr">
        <is>
          <t>S008, S150, S168</t>
        </is>
      </c>
      <c r="I23" s="21" t="inlineStr">
        <is>
          <t>закрыт; Fitzpatrick Hall и Black Box — Camdram (S168), концерты — S150</t>
        </is>
      </c>
    </row>
    <row r="24">
      <c r="A24" s="21" t="inlineStr">
        <is>
          <t>Robinson</t>
        </is>
      </c>
      <c r="B24" s="21" t="inlineStr">
        <is>
          <t>robinson.cam.ac.uk/events</t>
        </is>
      </c>
      <c r="C24" s="21" t="inlineStr">
        <is>
          <t>концерты; много внутренних занятий для студентов</t>
        </is>
      </c>
      <c r="D24" s="21" t="inlineStr">
        <is>
          <t>—</t>
        </is>
      </c>
      <c r="E24" s="21" t="inlineStr">
        <is>
          <t>разрешено</t>
        </is>
      </c>
      <c r="F24" s="21" t="inlineStr">
        <is>
          <t>0 / 1</t>
        </is>
      </c>
      <c r="G24" s="21" t="inlineStr">
        <is>
          <t>0 / 4</t>
        </is>
      </c>
      <c r="H24" s="21" t="inlineStr">
        <is>
          <t>S008, S067, S168</t>
        </is>
      </c>
      <c r="I24" s="21" t="inlineStr">
        <is>
          <t>подключён S172 (только публичные); сады — NGS (S067); Brickhouse — Camdram</t>
        </is>
      </c>
    </row>
    <row r="25">
      <c r="A25" s="21" t="inlineStr">
        <is>
          <t>St Catharine's</t>
        </is>
      </c>
      <c r="B25" s="21" t="inlineStr">
        <is>
          <t>caths.cam.ac.uk/alumni-friends/events</t>
        </is>
      </c>
      <c r="C25" s="21" t="inlineStr">
        <is>
          <t>307 (бот-защита)</t>
        </is>
      </c>
      <c r="D25" s="21" t="inlineStr">
        <is>
          <t>—</t>
        </is>
      </c>
      <c r="E25" s="21" t="inlineStr">
        <is>
          <t>разрешено</t>
        </is>
      </c>
      <c r="F25" s="21" t="inlineStr">
        <is>
          <t>0 / 0</t>
        </is>
      </c>
      <c r="G25" s="21" t="inlineStr">
        <is>
          <t>0 / 0</t>
        </is>
      </c>
      <c r="H25" s="21" t="inlineStr">
        <is>
          <t>—</t>
        </is>
      </c>
      <c r="I25" s="21" t="inlineStr">
        <is>
          <t>закрыт</t>
        </is>
      </c>
    </row>
    <row r="26">
      <c r="A26" s="21" t="inlineStr">
        <is>
          <t>St Edmund's</t>
        </is>
      </c>
      <c r="B26" s="21" t="inlineStr">
        <is>
          <t>st-edmunds.cam.ac.uk/the-vhi/vhi-events/</t>
        </is>
      </c>
      <c r="C26" s="21" t="inlineStr">
        <is>
          <t>лекции Von Hügel Institute</t>
        </is>
      </c>
      <c r="D26" s="21" t="inlineStr">
        <is>
          <t>—</t>
        </is>
      </c>
      <c r="E26" s="21" t="inlineStr">
        <is>
          <t>разрешено</t>
        </is>
      </c>
      <c r="F26" s="21" t="inlineStr">
        <is>
          <t>0 / 0</t>
        </is>
      </c>
      <c r="G26" s="21" t="inlineStr">
        <is>
          <t>0 / 0</t>
        </is>
      </c>
      <c r="H26" s="21" t="inlineStr">
        <is>
          <t>—</t>
        </is>
      </c>
      <c r="I26" s="21" t="inlineStr">
        <is>
          <t>подключён S173</t>
        </is>
      </c>
    </row>
    <row r="27">
      <c r="A27" s="21" t="inlineStr">
        <is>
          <t>St John's</t>
        </is>
      </c>
      <c r="B27" s="21" t="inlineStr">
        <is>
          <t>joh.cam.ac.uk/festival + sjcchoir.co.uk/events</t>
        </is>
      </c>
      <c r="C27" s="21" t="inlineStr">
        <is>
          <t>лекции, концерты, хор</t>
        </is>
      </c>
      <c r="D27" s="21" t="inlineStr">
        <is>
          <t>—</t>
        </is>
      </c>
      <c r="E27" s="21" t="inlineStr">
        <is>
          <t>разрешено</t>
        </is>
      </c>
      <c r="F27" s="21" t="inlineStr">
        <is>
          <t>0 / 9</t>
        </is>
      </c>
      <c r="G27" s="21" t="inlineStr">
        <is>
          <t>0 / 9</t>
        </is>
      </c>
      <c r="H27" s="21" t="inlineStr">
        <is>
          <t>S144, S148</t>
        </is>
      </c>
      <c r="I27" s="21" t="inlineStr">
        <is>
          <t>покрыт S144 (этап 6c)</t>
        </is>
      </c>
    </row>
    <row r="28">
      <c r="A28" s="21" t="inlineStr">
        <is>
          <t>Selwyn</t>
        </is>
      </c>
      <c r="B28" s="21" t="inlineStr">
        <is>
          <t>sel.cam.ac.uk/events</t>
        </is>
      </c>
      <c r="C28" s="21" t="inlineStr">
        <is>
          <t>органные и вокальные вечера</t>
        </is>
      </c>
      <c r="D28" s="21" t="inlineStr">
        <is>
          <t>—</t>
        </is>
      </c>
      <c r="E28" s="21" t="inlineStr">
        <is>
          <t>разрешено</t>
        </is>
      </c>
      <c r="F28" s="21" t="inlineStr">
        <is>
          <t>0 / 12</t>
        </is>
      </c>
      <c r="G28" s="21" t="inlineStr">
        <is>
          <t>0 / 12</t>
        </is>
      </c>
      <c r="H28" s="21" t="inlineStr">
        <is>
          <t>S150</t>
        </is>
      </c>
      <c r="I28" s="21" t="inlineStr">
        <is>
          <t>покрыт S150 (12 событий)</t>
        </is>
      </c>
    </row>
    <row r="29">
      <c r="A29" s="21" t="inlineStr">
        <is>
          <t>Sidney Sussex</t>
        </is>
      </c>
      <c r="B29" s="21" t="inlineStr">
        <is>
          <t>sid.cam.ac.uk/about-sidney/events</t>
        </is>
      </c>
      <c r="C29" s="21" t="inlineStr">
        <is>
          <t>заглушка Sucuri</t>
        </is>
      </c>
      <c r="D29" s="21" t="inlineStr">
        <is>
          <t>—</t>
        </is>
      </c>
      <c r="E29" s="21" t="inlineStr">
        <is>
          <t>разрешено</t>
        </is>
      </c>
      <c r="F29" s="21" t="inlineStr">
        <is>
          <t>0 / 0</t>
        </is>
      </c>
      <c r="G29" s="21" t="inlineStr">
        <is>
          <t>0 / 0</t>
        </is>
      </c>
      <c r="H29" s="21" t="inlineStr">
        <is>
          <t>—</t>
        </is>
      </c>
      <c r="I29" s="21" t="inlineStr">
        <is>
          <t>закрыт бот-защитой</t>
        </is>
      </c>
    </row>
    <row r="30">
      <c r="A30" s="21" t="inlineStr">
        <is>
          <t>Trinity</t>
        </is>
      </c>
      <c r="B30" s="21" t="inlineStr">
        <is>
          <t>trin.cam.ac.uk/events/ + /about/public-lectures/</t>
        </is>
      </c>
      <c r="C30" s="21" t="inlineStr">
        <is>
          <t>публичные лекции (Birkbeck), выпускники</t>
        </is>
      </c>
      <c r="D30" s="21" t="inlineStr">
        <is>
          <t>iCal, JSON-LD</t>
        </is>
      </c>
      <c r="E30" s="21" t="inlineStr">
        <is>
          <t>разрешено</t>
        </is>
      </c>
      <c r="F30" s="21" t="inlineStr">
        <is>
          <t>0 / 2</t>
        </is>
      </c>
      <c r="G30" s="21" t="inlineStr">
        <is>
          <t>0 / 3</t>
        </is>
      </c>
      <c r="H30" s="21" t="inlineStr">
        <is>
          <t>S001, S008, S150, S166</t>
        </is>
      </c>
      <c r="I30" s="21" t="inlineStr">
        <is>
          <t>подключён S166 (только публичные); хор — 403</t>
        </is>
      </c>
    </row>
    <row r="31">
      <c r="A31" s="21" t="inlineStr">
        <is>
          <t>Trinity Hall</t>
        </is>
      </c>
      <c r="B31" s="21" t="inlineStr">
        <is>
          <t>trinhall.cam.ac.uk/events/</t>
        </is>
      </c>
      <c r="C31" s="21" t="inlineStr">
        <is>
          <t>лекции и концерты — для членов колледжа и выпускников</t>
        </is>
      </c>
      <c r="D31" s="21" t="inlineStr">
        <is>
          <t>RSS</t>
        </is>
      </c>
      <c r="E31" s="21" t="inlineStr">
        <is>
          <t>разрешено</t>
        </is>
      </c>
      <c r="F31" s="21" t="inlineStr">
        <is>
          <t>0 / 0</t>
        </is>
      </c>
      <c r="G31" s="21" t="inlineStr">
        <is>
          <t>0 / 1</t>
        </is>
      </c>
      <c r="H31" s="21" t="inlineStr">
        <is>
          <t>S168</t>
        </is>
      </c>
      <c r="I31" s="21" t="inlineStr">
        <is>
          <t>не подключаем; Graham Storey Room — Camdram</t>
        </is>
      </c>
    </row>
    <row r="32">
      <c r="A32" s="21" t="inlineStr">
        <is>
          <t>Wolfson</t>
        </is>
      </c>
      <c r="B32" s="21" t="inlineStr">
        <is>
          <t>wolfson.cam.ac.uk/whats-on</t>
        </is>
      </c>
      <c r="C32" s="21" t="inlineStr">
        <is>
          <t>307 (бот-защита)</t>
        </is>
      </c>
      <c r="D32" s="21" t="inlineStr">
        <is>
          <t>—</t>
        </is>
      </c>
      <c r="E32" s="21" t="inlineStr">
        <is>
          <t>разрешено</t>
        </is>
      </c>
      <c r="F32" s="21" t="inlineStr">
        <is>
          <t>0 / 5</t>
        </is>
      </c>
      <c r="G32" s="21" t="inlineStr">
        <is>
          <t>0 / 5</t>
        </is>
      </c>
      <c r="H32" s="21" t="inlineStr">
        <is>
          <t>S131, S150</t>
        </is>
      </c>
      <c r="I32" s="21" t="inlineStr">
        <is>
          <t>закрыт; концерты — S150, лекции CPPF — S131</t>
        </is>
      </c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</row>
    <row r="34">
      <c r="A34" s="21" t="inlineStr">
        <is>
          <t>Покрыто (есть будущие события в базе): до — 19 из 31, после — 22 из 31; свой коллектор — 8; закрыты бот-защитой или обрывом — 13; публичной афиши нет — 7.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22" customWidth="1" style="11" min="1" max="1"/>
    <col width="40" customWidth="1" style="11" min="2" max="2"/>
    <col width="50" customWidth="1" style="11" min="3" max="3"/>
    <col width="28" customWidth="1" style="11" min="4" max="4"/>
    <col width="50" customWidth="1" style="11" min="5" max="5"/>
    <col width="12" customWidth="1" style="11" min="6" max="6"/>
    <col width="45" customWidth="1" style="11" min="7" max="7"/>
    <col width="35" customWidth="1" style="11" min="8" max="8"/>
    <col width="12" customWidth="1" style="11" min="9" max="9"/>
    <col width="10" customWidth="1" style="11" min="10" max="10"/>
  </cols>
  <sheetData>
    <row r="1">
      <c r="A1" s="20" t="inlineStr">
        <is>
          <t>ID</t>
        </is>
      </c>
      <c r="B1" s="20" t="inlineStr">
        <is>
          <t>Источник</t>
        </is>
      </c>
      <c r="C1" s="20" t="inlineStr">
        <is>
          <t>URL</t>
        </is>
      </c>
      <c r="D1" s="20" t="inlineStr">
        <is>
          <t>Тип проблемы</t>
        </is>
      </c>
      <c r="E1" s="20" t="inlineStr">
        <is>
          <t>Подробности</t>
        </is>
      </c>
      <c r="F1" s="20" t="inlineStr">
        <is>
          <t>С какой даты</t>
        </is>
      </c>
      <c r="G1" s="20" t="inlineStr">
        <is>
          <t>Что теряем</t>
        </is>
      </c>
      <c r="H1" s="20" t="inlineStr">
        <is>
          <t>Что делать</t>
        </is>
      </c>
      <c r="I1" s="20" t="inlineStr">
        <is>
          <t>Последняя проверка</t>
        </is>
      </c>
      <c r="J1" s="20" t="inlineStr">
        <is>
          <t>Статус</t>
        </is>
      </c>
    </row>
    <row r="2">
      <c r="A2" t="inlineStr">
        <is>
          <t>C:Clare</t>
        </is>
      </c>
      <c r="B2" t="inlineStr">
        <is>
          <t>Clare — сайт колледжа</t>
        </is>
      </c>
      <c r="C2" t="inlineStr">
        <is>
          <t>https://clarecollegechoir.com/events/category/concerts</t>
        </is>
      </c>
      <c r="D2" t="inlineStr">
        <is>
          <t>обрыв соединения</t>
        </is>
      </c>
      <c r="E2" t="inlineStr">
        <is>
          <t>clarecollegechoir.com: обрыв соединения (tunnel closed) — robots.txt не прочитан</t>
        </is>
      </c>
      <c r="F2" t="inlineStr">
        <is>
          <t>2026-09-30</t>
        </is>
      </c>
      <c r="G2" t="inlineStr">
        <is>
          <t>Choir of Clare College — концерты</t>
        </is>
      </c>
      <c r="H2" t="inlineStr">
        <is>
          <t>не обходим; перепроверить позже; публичные события частично приходят из общих источников</t>
        </is>
      </c>
      <c r="I2" t="inlineStr">
        <is>
          <t>2026-09-30</t>
        </is>
      </c>
      <c r="J2" t="inlineStr">
        <is>
          <t>открыто</t>
        </is>
      </c>
    </row>
    <row r="3">
      <c r="A3" t="inlineStr">
        <is>
          <t>C:Corpus Christi</t>
        </is>
      </c>
      <c r="B3" t="inlineStr">
        <is>
          <t>Corpus Christi — сайт колледжа</t>
        </is>
      </c>
      <c r="C3" t="inlineStr">
        <is>
          <t>https://www.corpus.cam.ac.uk/events</t>
        </is>
      </c>
      <c r="D3" t="inlineStr">
        <is>
          <t>заглушка или проверка бот-защиты</t>
        </is>
      </c>
      <c r="E3" t="inlineStr">
        <is>
          <t>Sucuri: «Please wait while your request is being verified»</t>
        </is>
      </c>
      <c r="F3" t="inlineStr">
        <is>
          <t>2026-09-30</t>
        </is>
      </c>
      <c r="G3" t="inlineStr">
        <is>
          <t>Corpus Christi College — события, Parker Library</t>
        </is>
      </c>
      <c r="H3" t="inlineStr">
        <is>
          <t>не обходим; перепроверить позже; публичные события частично приходят из общих источников</t>
        </is>
      </c>
      <c r="I3" t="inlineStr">
        <is>
          <t>2026-09-30</t>
        </is>
      </c>
      <c r="J3" t="inlineStr">
        <is>
          <t>открыто</t>
        </is>
      </c>
    </row>
    <row r="4">
      <c r="A4" t="inlineStr">
        <is>
          <t>C:Downing</t>
        </is>
      </c>
      <c r="B4" t="inlineStr">
        <is>
          <t>Downing — сайт колледжа</t>
        </is>
      </c>
      <c r="C4" t="inlineStr">
        <is>
          <t>https://www.dow.cam.ac.uk/about/events</t>
        </is>
      </c>
      <c r="D4" t="inlineStr">
        <is>
          <t>заглушка или проверка бот-защиты</t>
        </is>
      </c>
      <c r="E4" t="inlineStr">
        <is>
          <t>Sucuri: страницы событий и садов — заглушка; Heong Gallery открывается</t>
        </is>
      </c>
      <c r="F4" t="inlineStr">
        <is>
          <t>2026-09-30</t>
        </is>
      </c>
      <c r="G4" t="inlineStr">
        <is>
          <t>Downing College — события</t>
        </is>
      </c>
      <c r="H4" t="inlineStr">
        <is>
          <t>не обходим; перепроверить позже; публичные события частично приходят из общих источников</t>
        </is>
      </c>
      <c r="I4" t="inlineStr">
        <is>
          <t>2026-09-30</t>
        </is>
      </c>
      <c r="J4" t="inlineStr">
        <is>
          <t>открыто</t>
        </is>
      </c>
    </row>
    <row r="5">
      <c r="A5" t="inlineStr">
        <is>
          <t>C:Gonville &amp; Caius</t>
        </is>
      </c>
      <c r="B5" t="inlineStr">
        <is>
          <t>Gonville &amp; Caius — сайт колледжа</t>
        </is>
      </c>
      <c r="C5" t="inlineStr">
        <is>
          <t>https://gonvilleandcaiuschoir.com/concerts-broadcasts</t>
        </is>
      </c>
      <c r="D5" t="inlineStr">
        <is>
          <t>заглушка или проверка бот-защиты</t>
        </is>
      </c>
      <c r="E5" t="inlineStr">
        <is>
          <t>Sucuri на cai.cam.ac.uk; gonvilleandcaiuschoir.com — обрыв соединения</t>
        </is>
      </c>
      <c r="F5" t="inlineStr">
        <is>
          <t>2026-09-30</t>
        </is>
      </c>
      <c r="G5" t="inlineStr">
        <is>
          <t>Gonville &amp; Caius — события, концерты хора</t>
        </is>
      </c>
      <c r="H5" t="inlineStr">
        <is>
          <t>не обходим; перепроверить позже; публичные события частично приходят из общих источников</t>
        </is>
      </c>
      <c r="I5" t="inlineStr">
        <is>
          <t>2026-09-30</t>
        </is>
      </c>
      <c r="J5" t="inlineStr">
        <is>
          <t>открыто</t>
        </is>
      </c>
    </row>
    <row r="6">
      <c r="A6" t="inlineStr">
        <is>
          <t>C:Homerton</t>
        </is>
      </c>
      <c r="B6" t="inlineStr">
        <is>
          <t>Homerton — сайт колледжа</t>
        </is>
      </c>
      <c r="C6" t="inlineStr">
        <is>
          <t>https://www.homerton.cam.ac.uk/homerton-life/kate-pretty-lectures</t>
        </is>
      </c>
      <c r="D6" t="inlineStr">
        <is>
          <t>заглушка или проверка бот-защиты</t>
        </is>
      </c>
      <c r="E6" t="inlineStr">
        <is>
          <t>Sucuri: «Please wait while your request is being verified»</t>
        </is>
      </c>
      <c r="F6" t="inlineStr">
        <is>
          <t>2026-09-30</t>
        </is>
      </c>
      <c r="G6" t="inlineStr">
        <is>
          <t>Homerton — Kate Pretty Lectures</t>
        </is>
      </c>
      <c r="H6" t="inlineStr">
        <is>
          <t>не обходим; перепроверить позже; публичные события частично приходят из общих источников</t>
        </is>
      </c>
      <c r="I6" t="inlineStr">
        <is>
          <t>2026-09-30</t>
        </is>
      </c>
      <c r="J6" t="inlineStr">
        <is>
          <t>открыто</t>
        </is>
      </c>
    </row>
    <row r="7">
      <c r="A7" t="inlineStr">
        <is>
          <t>C:Jesus</t>
        </is>
      </c>
      <c r="B7" t="inlineStr">
        <is>
          <t>Jesus — сайт колледжа</t>
        </is>
      </c>
      <c r="C7" t="inlineStr">
        <is>
          <t>https://www.jesus.cam.ac.uk/college/events</t>
        </is>
      </c>
      <c r="D7" t="inlineStr">
        <is>
          <t>заглушка или проверка бот-защиты</t>
        </is>
      </c>
      <c r="E7" t="inlineStr">
        <is>
          <t>307 на все страницы событий (защита Pantheon/Sucuri)</t>
        </is>
      </c>
      <c r="F7" t="inlineStr">
        <is>
          <t>2026-09-30</t>
        </is>
      </c>
      <c r="G7" t="inlineStr">
        <is>
          <t>Jesus College — события, John Hughes Arts Festival</t>
        </is>
      </c>
      <c r="H7" t="inlineStr">
        <is>
          <t>не обходим; перепроверить позже; публичные события частично приходят из общих источников</t>
        </is>
      </c>
      <c r="I7" t="inlineStr">
        <is>
          <t>2026-09-30</t>
        </is>
      </c>
      <c r="J7" t="inlineStr">
        <is>
          <t>открыто</t>
        </is>
      </c>
    </row>
    <row r="8">
      <c r="A8" t="inlineStr">
        <is>
          <t>C:Murray Edwards</t>
        </is>
      </c>
      <c r="B8" t="inlineStr">
        <is>
          <t>Murray Edwards — сайт колледжа</t>
        </is>
      </c>
      <c r="C8" t="inlineStr">
        <is>
          <t>https://www.murrayedwards.cam.ac.uk/news-events/upcoming-events</t>
        </is>
      </c>
      <c r="D8" t="inlineStr">
        <is>
          <t>заглушка или проверка бот-защиты</t>
        </is>
      </c>
      <c r="E8" t="inlineStr">
        <is>
          <t>Sucuri на страницах событий; Women's Art Collection открывается</t>
        </is>
      </c>
      <c r="F8" t="inlineStr">
        <is>
          <t>2026-09-30</t>
        </is>
      </c>
      <c r="G8" t="inlineStr">
        <is>
          <t>Murray Edwards — события</t>
        </is>
      </c>
      <c r="H8" t="inlineStr">
        <is>
          <t>не обходим; перепроверить позже; публичные события частично приходят из общих источников</t>
        </is>
      </c>
      <c r="I8" t="inlineStr">
        <is>
          <t>2026-09-30</t>
        </is>
      </c>
      <c r="J8" t="inlineStr">
        <is>
          <t>открыто</t>
        </is>
      </c>
    </row>
    <row r="9">
      <c r="A9" t="inlineStr">
        <is>
          <t>C:Pembroke</t>
        </is>
      </c>
      <c r="B9" t="inlineStr">
        <is>
          <t>Pembroke — сайт колледжа</t>
        </is>
      </c>
      <c r="C9" t="inlineStr">
        <is>
          <t>https://pem.cam.ac.uk/college/events/all</t>
        </is>
      </c>
      <c r="D9" t="inlineStr">
        <is>
          <t>заглушка или проверка бот-защиты</t>
        </is>
      </c>
      <c r="E9" t="inlineStr">
        <is>
          <t>307 на все страницы (защита)</t>
        </is>
      </c>
      <c r="F9" t="inlineStr">
        <is>
          <t>2026-09-30</t>
        </is>
      </c>
      <c r="G9" t="inlineStr">
        <is>
          <t>Pembroke — события, Open Doors Festival</t>
        </is>
      </c>
      <c r="H9" t="inlineStr">
        <is>
          <t>не обходим; перепроверить позже; публичные события частично приходят из общих источников</t>
        </is>
      </c>
      <c r="I9" t="inlineStr">
        <is>
          <t>2026-09-30</t>
        </is>
      </c>
      <c r="J9" t="inlineStr">
        <is>
          <t>открыто</t>
        </is>
      </c>
    </row>
    <row r="10">
      <c r="A10" t="inlineStr">
        <is>
          <t>C:Queens'</t>
        </is>
      </c>
      <c r="B10" t="inlineStr">
        <is>
          <t>Queens' — сайт колледжа</t>
        </is>
      </c>
      <c r="C10" t="inlineStr">
        <is>
          <t>https://queens.cam.ac.uk/about-us/news-events</t>
        </is>
      </c>
      <c r="D10" t="inlineStr">
        <is>
          <t>заглушка или проверка бот-защиты</t>
        </is>
      </c>
      <c r="E10" t="inlineStr">
        <is>
          <t>202 с заглушкой на все страницы</t>
        </is>
      </c>
      <c r="F10" t="inlineStr">
        <is>
          <t>2026-09-30</t>
        </is>
      </c>
      <c r="G10" t="inlineStr">
        <is>
          <t>Queens' College — события</t>
        </is>
      </c>
      <c r="H10" t="inlineStr">
        <is>
          <t>не обходим; перепроверить позже; публичные события частично приходят из общих источников</t>
        </is>
      </c>
      <c r="I10" t="inlineStr">
        <is>
          <t>2026-09-30</t>
        </is>
      </c>
      <c r="J10" t="inlineStr">
        <is>
          <t>открыто</t>
        </is>
      </c>
    </row>
    <row r="11">
      <c r="A11" t="inlineStr">
        <is>
          <t>C:Sidney Sussex</t>
        </is>
      </c>
      <c r="B11" t="inlineStr">
        <is>
          <t>Sidney Sussex — сайт колледжа</t>
        </is>
      </c>
      <c r="C11" t="inlineStr">
        <is>
          <t>https://www.sid.cam.ac.uk/about-sidney/sidney-greats-lecture-series</t>
        </is>
      </c>
      <c r="D11" t="inlineStr">
        <is>
          <t>заглушка или проверка бот-защиты</t>
        </is>
      </c>
      <c r="E11" t="inlineStr">
        <is>
          <t>Sucuri: «Please wait while your request is being verified»</t>
        </is>
      </c>
      <c r="F11" t="inlineStr">
        <is>
          <t>2026-09-30</t>
        </is>
      </c>
      <c r="G11" t="inlineStr">
        <is>
          <t>Sidney Sussex — Sidney Greats lectures</t>
        </is>
      </c>
      <c r="H11" t="inlineStr">
        <is>
          <t>не обходим; перепроверить позже; публичные события частично приходят из общих источников</t>
        </is>
      </c>
      <c r="I11" t="inlineStr">
        <is>
          <t>2026-09-30</t>
        </is>
      </c>
      <c r="J11" t="inlineStr">
        <is>
          <t>открыто</t>
        </is>
      </c>
    </row>
    <row r="12">
      <c r="A12" t="inlineStr">
        <is>
          <t>C:St Catharine's</t>
        </is>
      </c>
      <c r="B12" t="inlineStr">
        <is>
          <t>St Catharine's — сайт колледжа</t>
        </is>
      </c>
      <c r="C12" t="inlineStr">
        <is>
          <t>https://caths.cam.ac.uk/about-us/college-calendar</t>
        </is>
      </c>
      <c r="D12" t="inlineStr">
        <is>
          <t>заглушка или проверка бот-защиты</t>
        </is>
      </c>
      <c r="E12" t="inlineStr">
        <is>
          <t>307 на все страницы</t>
        </is>
      </c>
      <c r="F12" t="inlineStr">
        <is>
          <t>2026-09-30</t>
        </is>
      </c>
      <c r="G12" t="inlineStr">
        <is>
          <t>St Catharine's — события</t>
        </is>
      </c>
      <c r="H12" t="inlineStr">
        <is>
          <t>не обходим; перепроверить позже; публичные события частично приходят из общих источников</t>
        </is>
      </c>
      <c r="I12" t="inlineStr">
        <is>
          <t>2026-09-30</t>
        </is>
      </c>
      <c r="J12" t="inlineStr">
        <is>
          <t>открыто</t>
        </is>
      </c>
    </row>
    <row r="13">
      <c r="A13" t="inlineStr">
        <is>
          <t>C:Trinity</t>
        </is>
      </c>
      <c r="B13" t="inlineStr">
        <is>
          <t>Trinity — сайт колледжа</t>
        </is>
      </c>
      <c r="C13" t="inlineStr">
        <is>
          <t>https://trinitycollegechoir.com/concerts</t>
        </is>
      </c>
      <c r="D13" t="inlineStr">
        <is>
          <t>страница отвечает 403</t>
        </is>
      </c>
      <c r="E13" t="inlineStr">
        <is>
          <t>trinitycollegechoir.com: 403 на все страницы</t>
        </is>
      </c>
      <c r="F13" t="inlineStr">
        <is>
          <t>2026-09-30</t>
        </is>
      </c>
      <c r="G13" t="inlineStr">
        <is>
          <t>Choir of Trinity College — концерты</t>
        </is>
      </c>
      <c r="H13" t="inlineStr">
        <is>
          <t>не обходим; перепроверить позже; публичные события частично приходят из общих источников</t>
        </is>
      </c>
      <c r="I13" t="inlineStr">
        <is>
          <t>2026-09-30</t>
        </is>
      </c>
      <c r="J13" t="inlineStr">
        <is>
          <t>открыто</t>
        </is>
      </c>
    </row>
    <row r="14">
      <c r="A14" t="inlineStr">
        <is>
          <t>C:Wolfson</t>
        </is>
      </c>
      <c r="B14" t="inlineStr">
        <is>
          <t>Wolfson — сайт колледжа</t>
        </is>
      </c>
      <c r="C14" t="inlineStr">
        <is>
          <t>https://wolfson.cam.ac.uk/whats-on</t>
        </is>
      </c>
      <c r="D14" t="inlineStr">
        <is>
          <t>заглушка или проверка бот-защиты</t>
        </is>
      </c>
      <c r="E14" t="inlineStr">
        <is>
          <t>307 и заглушка на страницах событий</t>
        </is>
      </c>
      <c r="F14" t="inlineStr">
        <is>
          <t>2026-09-30</t>
        </is>
      </c>
      <c r="G14" t="inlineStr">
        <is>
          <t>Wolfson College — события и лекции</t>
        </is>
      </c>
      <c r="H14" t="inlineStr">
        <is>
          <t>не обходим; перепроверить позже; публичные события частично приходят из общих источников</t>
        </is>
      </c>
      <c r="I14" t="inlineStr">
        <is>
          <t>2026-09-30</t>
        </is>
      </c>
      <c r="J14" t="inlineStr">
        <is>
          <t>открыто</t>
        </is>
      </c>
    </row>
    <row r="15">
      <c r="A15" t="inlineStr">
        <is>
          <t>P:activeplayeducation.co.uk</t>
        </is>
      </c>
      <c r="B15" t="inlineStr">
        <is>
          <t>Active Play Education</t>
        </is>
      </c>
      <c r="C15" t="inlineStr">
        <is>
          <t>https://www.activeplayeducation.co.uk/activities/ely-st-marys---holiday-club</t>
        </is>
      </c>
      <c r="D15" t="inlineStr">
        <is>
          <t>заглушка или проверка бот-защиты</t>
        </is>
      </c>
      <c r="E15" t="inlineStr">
        <is>
          <t>robots.txt: HTTP 200; страница: 200, заглушка</t>
        </is>
      </c>
      <c r="F15" t="inlineStr">
        <is>
          <t>2026-09-29</t>
        </is>
      </c>
      <c r="G15" t="inlineStr">
        <is>
          <t>каникулярные программы и секции провайдера</t>
        </is>
      </c>
      <c r="H15" t="inlineStr">
        <is>
          <t>перепроверить позже; найти поиском</t>
        </is>
      </c>
      <c r="I15" t="inlineStr">
        <is>
          <t>2026-09-29</t>
        </is>
      </c>
      <c r="J15" t="inlineStr">
        <is>
          <t>открыто</t>
        </is>
      </c>
    </row>
    <row r="16">
      <c r="A16" t="inlineStr">
        <is>
          <t>P:cambridgegymnastics.co.uk</t>
        </is>
      </c>
      <c r="B16" t="inlineStr">
        <is>
          <t>Cambridge Gymnastics Academy</t>
        </is>
      </c>
      <c r="C16" t="inlineStr">
        <is>
          <t>https://cambridgegymnastics.co.uk/class_category/recreational</t>
        </is>
      </c>
      <c r="D16" t="inlineStr">
        <is>
          <t>заглушка или проверка бот-защиты</t>
        </is>
      </c>
      <c r="E16" t="inlineStr">
        <is>
          <t>robots.txt: HTTP 202; страница: 202, заглушка</t>
        </is>
      </c>
      <c r="F16" t="inlineStr">
        <is>
          <t>2026-09-29</t>
        </is>
      </c>
      <c r="G16" t="inlineStr">
        <is>
          <t>каникулярные программы и секции провайдера</t>
        </is>
      </c>
      <c r="H16" t="inlineStr">
        <is>
          <t>перепроверить позже; найти поиском</t>
        </is>
      </c>
      <c r="I16" t="inlineStr">
        <is>
          <t>2026-09-29</t>
        </is>
      </c>
      <c r="J16" t="inlineStr">
        <is>
          <t>открыто</t>
        </is>
      </c>
    </row>
    <row r="17">
      <c r="A17" t="inlineStr">
        <is>
          <t>P:cambridgekidsclub.com</t>
        </is>
      </c>
      <c r="B17" t="inlineStr">
        <is>
          <t>Cambridge Kids Club</t>
        </is>
      </c>
      <c r="C17" t="inlineStr">
        <is>
          <t>https://cambridgekidsclub.com/playscheme/ckc-wacky</t>
        </is>
      </c>
      <c r="D17" t="inlineStr">
        <is>
          <t>заглушка или проверка бот-защиты</t>
        </is>
      </c>
      <c r="E17" t="inlineStr">
        <is>
          <t>robots.txt: HTTP 403 (4xx — правил нет, RFC 9309); страница: 403</t>
        </is>
      </c>
      <c r="F17" t="inlineStr">
        <is>
          <t>2026-09-29</t>
        </is>
      </c>
      <c r="G17" t="inlineStr">
        <is>
          <t>каникулярные программы и секции провайдера</t>
        </is>
      </c>
      <c r="H17" t="inlineStr">
        <is>
          <t>перепроверить позже; найти поиском</t>
        </is>
      </c>
      <c r="I17" t="inlineStr">
        <is>
          <t>2026-09-29</t>
        </is>
      </c>
      <c r="J17" t="inlineStr">
        <is>
          <t>открыто</t>
        </is>
      </c>
    </row>
    <row r="18">
      <c r="A18" t="inlineStr">
        <is>
          <t>P:cambridgeltc.com</t>
        </is>
      </c>
      <c r="B18" t="inlineStr">
        <is>
          <t>Cambridge Lawn Tennis Club</t>
        </is>
      </c>
      <c r="C18" t="inlineStr">
        <is>
          <t>https://cambridgeltc.com/coaching/half-term-tennis-camp</t>
        </is>
      </c>
      <c r="D18" t="inlineStr">
        <is>
          <t>обрыв соединения</t>
        </is>
      </c>
      <c r="E18" t="inlineStr">
        <is>
          <t>robots.txt: HTTP -1</t>
        </is>
      </c>
      <c r="F18" t="inlineStr">
        <is>
          <t>2026-09-29</t>
        </is>
      </c>
      <c r="G18" t="inlineStr">
        <is>
          <t>каникулярные программы и секции провайдера</t>
        </is>
      </c>
      <c r="H18" t="inlineStr">
        <is>
          <t>перепроверить позже; найти поиском</t>
        </is>
      </c>
      <c r="I18" t="inlineStr">
        <is>
          <t>2026-09-29</t>
        </is>
      </c>
      <c r="J18" t="inlineStr">
        <is>
          <t>открыто</t>
        </is>
      </c>
    </row>
    <row r="19">
      <c r="A19" t="inlineStr">
        <is>
          <t>P:clubspark.lta.org.uk</t>
        </is>
      </c>
      <c r="B19" t="inlineStr">
        <is>
          <t>Cambridge Lawn Tennis Club</t>
        </is>
      </c>
      <c r="C19" t="inlineStr">
        <is>
          <t>https://clubspark.lta.org.uk/CocksandHensTennisCambridge/Coaching</t>
        </is>
      </c>
      <c r="D19" t="inlineStr">
        <is>
          <t>заглушка или проверка бот-защиты</t>
        </is>
      </c>
      <c r="E19" t="inlineStr">
        <is>
          <t>robots.txt: HTTP 403 (4xx — правил нет, RFC 9309); страница: 403</t>
        </is>
      </c>
      <c r="F19" t="inlineStr">
        <is>
          <t>2026-09-29</t>
        </is>
      </c>
      <c r="G19" t="inlineStr">
        <is>
          <t>каникулярные программы и секции провайдера</t>
        </is>
      </c>
      <c r="H19" t="inlineStr">
        <is>
          <t>перепроверить позже; найти поиском</t>
        </is>
      </c>
      <c r="I19" t="inlineStr">
        <is>
          <t>2026-09-29</t>
        </is>
      </c>
      <c r="J19" t="inlineStr">
        <is>
          <t>открыто</t>
        </is>
      </c>
    </row>
    <row r="20">
      <c r="A20" t="inlineStr">
        <is>
          <t>P:funtimeschildcare.com</t>
        </is>
      </c>
      <c r="B20" t="inlineStr">
        <is>
          <t>Fun Times Cambridgeshire</t>
        </is>
      </c>
      <c r="C20" t="inlineStr">
        <is>
          <t>https://funtimeschildcare.com/holiday-club/</t>
        </is>
      </c>
      <c r="D20" t="inlineStr">
        <is>
          <t>страница отвечает 403</t>
        </is>
      </c>
      <c r="E20" t="inlineStr">
        <is>
          <t>robots.txt: HTTP 200; страница: 403</t>
        </is>
      </c>
      <c r="F20" t="inlineStr">
        <is>
          <t>2026-09-29</t>
        </is>
      </c>
      <c r="G20" t="inlineStr">
        <is>
          <t>каникулярные программы и секции провайдера</t>
        </is>
      </c>
      <c r="H20" t="inlineStr">
        <is>
          <t>перепроверить позже; найти поиском</t>
        </is>
      </c>
      <c r="I20" t="inlineStr">
        <is>
          <t>2026-09-29</t>
        </is>
      </c>
      <c r="J20" t="inlineStr">
        <is>
          <t>открыто</t>
        </is>
      </c>
    </row>
    <row r="21">
      <c r="A21" t="inlineStr">
        <is>
          <t>P:kettlesyard.cam.ac.uk</t>
        </is>
      </c>
      <c r="B21" t="inlineStr">
        <is>
          <t>Kettle's Yard</t>
        </is>
      </c>
      <c r="C21" t="inlineStr">
        <is>
          <t>https://kettlesyard.cam.ac.uk/whats-on/holiday-workshop-dance-style-and-pattern-creative-thinking-caps-on-with-sin-cru</t>
        </is>
      </c>
      <c r="D21" t="inlineStr">
        <is>
          <t>обрыв соединения</t>
        </is>
      </c>
      <c r="E21" t="inlineStr">
        <is>
          <t>robots.txt: HTTP -1</t>
        </is>
      </c>
      <c r="F21" t="inlineStr">
        <is>
          <t>2026-09-29</t>
        </is>
      </c>
      <c r="G21" t="inlineStr">
        <is>
          <t>каникулярные программы и секции провайдера</t>
        </is>
      </c>
      <c r="H21" t="inlineStr">
        <is>
          <t>перепроверить позже; найти поиском</t>
        </is>
      </c>
      <c r="I21" t="inlineStr">
        <is>
          <t>2026-09-29</t>
        </is>
      </c>
      <c r="J21" t="inlineStr">
        <is>
          <t>открыто</t>
        </is>
      </c>
    </row>
    <row r="22">
      <c r="A22" t="inlineStr">
        <is>
          <t>P:mikestennis.com</t>
        </is>
      </c>
      <c r="B22" t="inlineStr">
        <is>
          <t>Mike's Tennis Academy</t>
        </is>
      </c>
      <c r="C22" t="inlineStr">
        <is>
          <t>https://mikestennis.com/holiday-camps</t>
        </is>
      </c>
      <c r="D22" t="inlineStr">
        <is>
          <t>заглушка или проверка бот-защиты</t>
        </is>
      </c>
      <c r="E22" t="inlineStr">
        <is>
          <t>robots.txt: HTTP 202; страница: 202, заглушка</t>
        </is>
      </c>
      <c r="F22" t="inlineStr">
        <is>
          <t>2026-09-29</t>
        </is>
      </c>
      <c r="G22" t="inlineStr">
        <is>
          <t>каникулярные программы и секции провайдера</t>
        </is>
      </c>
      <c r="H22" t="inlineStr">
        <is>
          <t>перепроверить позже; найти поиском</t>
        </is>
      </c>
      <c r="I22" t="inlineStr">
        <is>
          <t>2026-09-29</t>
        </is>
      </c>
      <c r="J22" t="inlineStr">
        <is>
          <t>открыто</t>
        </is>
      </c>
    </row>
    <row r="23">
      <c r="A23" t="inlineStr">
        <is>
          <t>P:multi-active.co.uk</t>
        </is>
      </c>
      <c r="B23" t="inlineStr">
        <is>
          <t>Multi-Active (Huntingdon &amp; St Ives)</t>
        </is>
      </c>
      <c r="C23" t="inlineStr">
        <is>
          <t>https://www.multi-active.co.uk/cambridgeshire-school-holiday-clubs</t>
        </is>
      </c>
      <c r="D23" t="inlineStr">
        <is>
          <t>обрыв соединения</t>
        </is>
      </c>
      <c r="E23" t="inlineStr">
        <is>
          <t>robots.txt: HTTP -1</t>
        </is>
      </c>
      <c r="F23" t="inlineStr">
        <is>
          <t>2026-09-29</t>
        </is>
      </c>
      <c r="G23" t="inlineStr">
        <is>
          <t>каникулярные программы и секции провайдера</t>
        </is>
      </c>
      <c r="H23" t="inlineStr">
        <is>
          <t>перепроверить позже; найти поиском</t>
        </is>
      </c>
      <c r="I23" t="inlineStr">
        <is>
          <t>2026-09-29</t>
        </is>
      </c>
      <c r="J23" t="inlineStr">
        <is>
          <t>открыто</t>
        </is>
      </c>
    </row>
    <row r="24">
      <c r="A24" t="inlineStr">
        <is>
          <t>P:nenepark.org.uk</t>
        </is>
      </c>
      <c r="B24" t="inlineStr">
        <is>
          <t>Nene Park</t>
        </is>
      </c>
      <c r="C24" t="inlineStr">
        <is>
          <t>https://nenepark.org.uk/holiday-club</t>
        </is>
      </c>
      <c r="D24" t="inlineStr">
        <is>
          <t>страница отвечает 403</t>
        </is>
      </c>
      <c r="E24" t="inlineStr">
        <is>
          <t>robots.txt: HTTP 403 (4xx — правил нет, RFC 9309); страница: 403</t>
        </is>
      </c>
      <c r="F24" t="inlineStr">
        <is>
          <t>2026-09-29</t>
        </is>
      </c>
      <c r="G24" t="inlineStr">
        <is>
          <t>каникулярные программы и секции провайдера</t>
        </is>
      </c>
      <c r="H24" t="inlineStr">
        <is>
          <t>перепроверить позже; найти поиском</t>
        </is>
      </c>
      <c r="I24" t="inlineStr">
        <is>
          <t>2026-09-29</t>
        </is>
      </c>
      <c r="J24" t="inlineStr">
        <is>
          <t>открыто</t>
        </is>
      </c>
    </row>
    <row r="25">
      <c r="A25" t="inlineStr">
        <is>
          <t>P:officialsoccerschools.co.uk</t>
        </is>
      </c>
      <c r="B25" t="inlineStr">
        <is>
          <t>Cambridge United soccer schools</t>
        </is>
      </c>
      <c r="C25" t="inlineStr">
        <is>
          <t>https://officialsoccerschools.co.uk/cambridgeunited/</t>
        </is>
      </c>
      <c r="D25" t="inlineStr">
        <is>
          <t>заглушка или проверка бот-защиты</t>
        </is>
      </c>
      <c r="E25" t="inlineStr">
        <is>
          <t>robots.txt: HTTP 403 (4xx — правил нет, RFC 9309); страница: 403</t>
        </is>
      </c>
      <c r="F25" t="inlineStr">
        <is>
          <t>2026-09-29</t>
        </is>
      </c>
      <c r="G25" t="inlineStr">
        <is>
          <t>каникулярные программы и секции провайдера</t>
        </is>
      </c>
      <c r="H25" t="inlineStr">
        <is>
          <t>перепроверить позже; найти поиском</t>
        </is>
      </c>
      <c r="I25" t="inlineStr">
        <is>
          <t>2026-09-29</t>
        </is>
      </c>
      <c r="J25" t="inlineStr">
        <is>
          <t>открыто</t>
        </is>
      </c>
    </row>
    <row r="26">
      <c r="A26" t="inlineStr">
        <is>
          <t>P:s4swimschool.uk</t>
        </is>
      </c>
      <c r="B26" t="inlineStr">
        <is>
          <t>S4 Swim School</t>
        </is>
      </c>
      <c r="C26" t="inlineStr">
        <is>
          <t>https://s4swimschool.uk/swim-intensives</t>
        </is>
      </c>
      <c r="D26" t="inlineStr">
        <is>
          <t>обрыв соединения</t>
        </is>
      </c>
      <c r="E26" t="inlineStr">
        <is>
          <t>robots.txt: HTTP -1</t>
        </is>
      </c>
      <c r="F26" t="inlineStr">
        <is>
          <t>2026-09-29</t>
        </is>
      </c>
      <c r="G26" t="inlineStr">
        <is>
          <t>каникулярные программы и секции провайдера</t>
        </is>
      </c>
      <c r="H26" t="inlineStr">
        <is>
          <t>перепроверить позже; найти поиском</t>
        </is>
      </c>
      <c r="I26" t="inlineStr">
        <is>
          <t>2026-09-29</t>
        </is>
      </c>
      <c r="J26" t="inlineStr">
        <is>
          <t>открыто</t>
        </is>
      </c>
    </row>
    <row r="27">
      <c r="A27" t="inlineStr">
        <is>
          <t>P:thefootballfunfactory.co.uk</t>
        </is>
      </c>
      <c r="B27" t="inlineStr">
        <is>
          <t>The Football Fun Factory</t>
        </is>
      </c>
      <c r="C27" t="inlineStr">
        <is>
          <t>https://thefootballfunfactory.co.uk/locations/bury-st-edmunds</t>
        </is>
      </c>
      <c r="D27" t="inlineStr">
        <is>
          <t>страница отвечает 403</t>
        </is>
      </c>
      <c r="E27" t="inlineStr">
        <is>
          <t>robots.txt: HTTP 403 (4xx — правил нет, RFC 9309); страница: 403</t>
        </is>
      </c>
      <c r="F27" t="inlineStr">
        <is>
          <t>2026-09-29</t>
        </is>
      </c>
      <c r="G27" t="inlineStr">
        <is>
          <t>каникулярные программы и секции провайдера</t>
        </is>
      </c>
      <c r="H27" t="inlineStr">
        <is>
          <t>перепроверить позже; найти поиском</t>
        </is>
      </c>
      <c r="I27" t="inlineStr">
        <is>
          <t>2026-09-29</t>
        </is>
      </c>
      <c r="J27" t="inlineStr">
        <is>
          <t>открыто</t>
        </is>
      </c>
    </row>
    <row r="28">
      <c r="A28" t="inlineStr">
        <is>
          <t>P:theleys.net</t>
        </is>
      </c>
      <c r="B28" t="inlineStr">
        <is>
          <t>The Leys</t>
        </is>
      </c>
      <c r="C28" t="inlineStr">
        <is>
          <t>https://theleys.net/leys-leisure/holiday-swimming</t>
        </is>
      </c>
      <c r="D28" t="inlineStr">
        <is>
          <t>заглушка или проверка бот-защиты</t>
        </is>
      </c>
      <c r="E28" t="inlineStr">
        <is>
          <t>robots.txt: HTTP 200; страница: 403</t>
        </is>
      </c>
      <c r="F28" t="inlineStr">
        <is>
          <t>2026-09-29</t>
        </is>
      </c>
      <c r="G28" t="inlineStr">
        <is>
          <t>каникулярные программы и секции провайдера</t>
        </is>
      </c>
      <c r="H28" t="inlineStr">
        <is>
          <t>перепроверить позже; найти поиском</t>
        </is>
      </c>
      <c r="I28" t="inlineStr">
        <is>
          <t>2026-09-29</t>
        </is>
      </c>
      <c r="J28" t="inlineStr">
        <is>
          <t>открыто</t>
        </is>
      </c>
    </row>
    <row r="29">
      <c r="A29" t="inlineStr">
        <is>
          <t>P:vivacity.org</t>
        </is>
      </c>
      <c r="B29" t="inlineStr">
        <is>
          <t>Vivacity</t>
        </is>
      </c>
      <c r="C29" t="inlineStr">
        <is>
          <t>https://vivacity.org/sport-events/club-viva/club-viva-may-ht-2026</t>
        </is>
      </c>
      <c r="D29" t="inlineStr">
        <is>
          <t>страница отвечает ошибкой</t>
        </is>
      </c>
      <c r="E29" t="inlineStr">
        <is>
          <t>robots.txt: HTTP 404 (4xx — правил нет, RFC 9309); страница: 404</t>
        </is>
      </c>
      <c r="F29" t="inlineStr">
        <is>
          <t>2026-09-29</t>
        </is>
      </c>
      <c r="G29" t="inlineStr">
        <is>
          <t>каникулярные программы и секции провайдера</t>
        </is>
      </c>
      <c r="H29" t="inlineStr">
        <is>
          <t>перепроверить позже; найти поиском</t>
        </is>
      </c>
      <c r="I29" t="inlineStr">
        <is>
          <t>2026-09-29</t>
        </is>
      </c>
      <c r="J29" t="inlineStr">
        <is>
          <t>открыто</t>
        </is>
      </c>
    </row>
    <row r="30">
      <c r="A30" t="inlineStr">
        <is>
          <t>S012</t>
        </is>
      </c>
      <c r="B30" t="inlineStr">
        <is>
          <t>Cambridge Junction</t>
        </is>
      </c>
      <c r="C30" t="inlineStr">
        <is>
          <t>https://www.junction.co.uk/whats-on/</t>
        </is>
      </c>
      <c r="D30" t="inlineStr">
        <is>
          <t>заглушка или проверка бот-защиты</t>
        </is>
      </c>
      <c r="E30" t="inlineStr">
        <is>
          <t>30.09 днём нашему боту — страница-заглушка «перезагрузка через 5 секунд» (JS-проверка); утром отдавалась обычная страница. Не обходим.</t>
        </is>
      </c>
      <c r="F30" t="inlineStr">
        <is>
          <t>2026-09-30</t>
        </is>
      </c>
      <c r="G30" t="inlineStr">
        <is>
          <t>~250 будущих событий Junction (данные прошлого сбора 30.09 утром остаются в базе)</t>
        </is>
      </c>
      <c r="H30" t="inlineStr">
        <is>
          <t>перепроверить в следующем прогоне</t>
        </is>
      </c>
      <c r="I30" t="inlineStr">
        <is>
          <t>2026-09-30</t>
        </is>
      </c>
      <c r="J30" t="inlineStr">
        <is>
          <t>открыто</t>
        </is>
      </c>
    </row>
    <row r="31">
      <c r="A31" t="inlineStr">
        <is>
          <t>S013</t>
        </is>
      </c>
      <c r="B31" t="inlineStr">
        <is>
          <t>The Portland Arms</t>
        </is>
      </c>
      <c r="C31" t="inlineStr">
        <is>
          <t>https://www.theportlandarms.co.uk/</t>
        </is>
      </c>
      <c r="D31" t="inlineStr">
        <is>
          <t>заглушка или проверка бот-защиты</t>
        </is>
      </c>
      <c r="E31" t="inlineStr">
        <is>
          <t>robots.txt: HTTP 403 (4xx — правил нет, RFC 9309); страница: 403</t>
        </is>
      </c>
      <c r="F31" t="inlineStr">
        <is>
          <t>2026-09-29</t>
        </is>
      </c>
      <c r="G31" t="inlineStr">
        <is>
          <t>концерты Portland Arms (часть есть на Ents24/Skiddle)</t>
        </is>
      </c>
      <c r="H31" t="inlineStr">
        <is>
          <t>проверить вручную</t>
        </is>
      </c>
      <c r="I31" t="inlineStr">
        <is>
          <t>2026-09-29</t>
        </is>
      </c>
      <c r="J31" t="inlineStr">
        <is>
          <t>открыто</t>
        </is>
      </c>
    </row>
    <row r="32">
      <c r="A32" t="inlineStr">
        <is>
          <t>S029</t>
        </is>
      </c>
      <c r="B32" t="inlineStr">
        <is>
          <t>Let's Do This — Cambridgeshire</t>
        </is>
      </c>
      <c r="C32" t="inlineStr">
        <is>
          <t>https://www.letsdothis.com/gb/running-events-in-cambridgeshire</t>
        </is>
      </c>
      <c r="D32" t="inlineStr">
        <is>
          <t>заглушка или проверка бот-защиты</t>
        </is>
      </c>
      <c r="E32" t="inlineStr">
        <is>
          <t>robots.txt: HTTP 403 (4xx — правил нет, RFC 9309); страница: 403</t>
        </is>
      </c>
      <c r="F32" t="inlineStr">
        <is>
          <t>2026-09-29</t>
        </is>
      </c>
      <c r="G32" t="inlineStr">
        <is>
          <t>забеги и триатлоны с регистрацией</t>
        </is>
      </c>
      <c r="H32" t="inlineStr">
        <is>
          <t>проверить вручную</t>
        </is>
      </c>
      <c r="I32" t="inlineStr">
        <is>
          <t>2026-09-29</t>
        </is>
      </c>
      <c r="J32" t="inlineStr">
        <is>
          <t>открыто</t>
        </is>
      </c>
    </row>
    <row r="33">
      <c r="A33" t="inlineStr">
        <is>
          <t>S036</t>
        </is>
      </c>
      <c r="B33" t="inlineStr">
        <is>
          <t>Cambridge Literary Festival</t>
        </is>
      </c>
      <c r="C33" t="inlineStr">
        <is>
          <t>https://www.cambridgeliteraryfestival.com/</t>
        </is>
      </c>
      <c r="D33" t="inlineStr">
        <is>
          <t>заглушка или проверка бот-защиты</t>
        </is>
      </c>
      <c r="E33" t="inlineStr">
        <is>
          <t>robots.txt: HTTP 200; страница: 403</t>
        </is>
      </c>
      <c r="F33" t="inlineStr">
        <is>
          <t>2026-09-29</t>
        </is>
      </c>
      <c r="G33" t="inlineStr">
        <is>
          <t>Cambridge Literary Festival (весна, осень)</t>
        </is>
      </c>
      <c r="H33" t="inlineStr">
        <is>
          <t>проверить вручную</t>
        </is>
      </c>
      <c r="I33" t="inlineStr">
        <is>
          <t>2026-09-29</t>
        </is>
      </c>
      <c r="J33" t="inlineStr">
        <is>
          <t>открыто</t>
        </is>
      </c>
    </row>
    <row r="34">
      <c r="A34" t="inlineStr">
        <is>
          <t>S041</t>
        </is>
      </c>
      <c r="B34" t="inlineStr">
        <is>
          <t>Cambridge Arts Theatre</t>
        </is>
      </c>
      <c r="C34" t="inlineStr">
        <is>
          <t>https://www.cambridgeartstheatre.com/whats-on</t>
        </is>
      </c>
      <c r="D34" t="inlineStr">
        <is>
          <t>заглушка или проверка бот-защиты</t>
        </is>
      </c>
      <c r="E34" t="inlineStr">
        <is>
          <t>robots.txt: HTTP 200; страница: 403</t>
        </is>
      </c>
      <c r="F34" t="inlineStr">
        <is>
          <t>2026-09-29</t>
        </is>
      </c>
      <c r="G34" t="inlineStr">
        <is>
          <t>афиша Arts Theatre (есть через Ents24)</t>
        </is>
      </c>
      <c r="H34" t="inlineStr">
        <is>
          <t>проверить вручную</t>
        </is>
      </c>
      <c r="I34" t="inlineStr">
        <is>
          <t>2026-09-29</t>
        </is>
      </c>
      <c r="J34" t="inlineStr">
        <is>
          <t>открыто</t>
        </is>
      </c>
    </row>
    <row r="35">
      <c r="A35" t="inlineStr">
        <is>
          <t>S053</t>
        </is>
      </c>
      <c r="B35" t="inlineStr">
        <is>
          <t>IWM Duxford</t>
        </is>
      </c>
      <c r="C35" t="inlineStr">
        <is>
          <t>https://www.iwm.org.uk/events/iwm-duxford</t>
        </is>
      </c>
      <c r="D35" t="inlineStr">
        <is>
          <t>заглушка или проверка бот-защиты</t>
        </is>
      </c>
      <c r="E35" t="inlineStr">
        <is>
          <t>robots.txt: HTTP 200; страница: 403</t>
        </is>
      </c>
      <c r="F35" t="inlineStr">
        <is>
          <t>2026-09-29</t>
        </is>
      </c>
      <c r="G35" t="inlineStr">
        <is>
          <t>авиашоу и события IWM Duxford</t>
        </is>
      </c>
      <c r="H35" t="inlineStr">
        <is>
          <t>проверить вручную</t>
        </is>
      </c>
      <c r="I35" t="inlineStr">
        <is>
          <t>2026-09-29</t>
        </is>
      </c>
      <c r="J35" t="inlineStr">
        <is>
          <t>открыто</t>
        </is>
      </c>
    </row>
    <row r="36">
      <c r="A36" t="inlineStr">
        <is>
          <t>S063</t>
        </is>
      </c>
      <c r="B36" t="inlineStr">
        <is>
          <t>Resident Advisor / Skiddle — клубные события</t>
        </is>
      </c>
      <c r="C36" t="inlineStr">
        <is>
          <t>https://ra.co/events/uk/cambridge</t>
        </is>
      </c>
      <c r="D36" t="inlineStr">
        <is>
          <t>заглушка или проверка бот-защиты</t>
        </is>
      </c>
      <c r="E36" t="inlineStr">
        <is>
          <t>robots.txt: HTTP 200; страница: 403</t>
        </is>
      </c>
      <c r="F36" t="inlineStr">
        <is>
          <t>2026-09-29</t>
        </is>
      </c>
      <c r="G36" t="inlineStr"/>
      <c r="H36" t="inlineStr">
        <is>
          <t>проверить вручную</t>
        </is>
      </c>
      <c r="I36" t="inlineStr">
        <is>
          <t>2026-09-29</t>
        </is>
      </c>
      <c r="J36" t="inlineStr">
        <is>
          <t>открыто</t>
        </is>
      </c>
    </row>
    <row r="37">
      <c r="A37" t="inlineStr">
        <is>
          <t>S088</t>
        </is>
      </c>
      <c r="B37" t="inlineStr">
        <is>
          <t>parkrun — Cambridge, Wimpole и др.</t>
        </is>
      </c>
      <c r="C37" t="inlineStr">
        <is>
          <t>https://www.parkrun.org.uk/cambridge/</t>
        </is>
      </c>
      <c r="D37" t="inlineStr">
        <is>
          <t>страница отвечает 403</t>
        </is>
      </c>
      <c r="E37" t="inlineStr">
        <is>
          <t>robots.txt: HTTP 403 (4xx — правил нет, RFC 9309); страница: 403</t>
        </is>
      </c>
      <c r="F37" t="inlineStr">
        <is>
          <t>2026-09-29</t>
        </is>
      </c>
      <c r="G37" t="inlineStr">
        <is>
          <t>спецзабеги parkrun (Рождество, Новый год)</t>
        </is>
      </c>
      <c r="H37" t="inlineStr">
        <is>
          <t>проверить вручную</t>
        </is>
      </c>
      <c r="I37" t="inlineStr">
        <is>
          <t>2026-09-29</t>
        </is>
      </c>
      <c r="J37" t="inlineStr">
        <is>
          <t>открыто</t>
        </is>
      </c>
    </row>
    <row r="38">
      <c r="A38" t="inlineStr">
        <is>
          <t>S089</t>
        </is>
      </c>
      <c r="B38" t="inlineStr">
        <is>
          <t>Town and Gown 10k</t>
        </is>
      </c>
      <c r="C38" t="inlineStr">
        <is>
          <t>https://www.townandgown10k.com/</t>
        </is>
      </c>
      <c r="D38" t="inlineStr">
        <is>
          <t>страница отвечает 403</t>
        </is>
      </c>
      <c r="E38" t="inlineStr">
        <is>
          <t>robots.txt: HTTP 403 (4xx — правил нет, RFC 9309); страница: 403</t>
        </is>
      </c>
      <c r="F38" t="inlineStr">
        <is>
          <t>2026-09-29</t>
        </is>
      </c>
      <c r="G38" t="inlineStr">
        <is>
          <t>дата Town &amp; Gown 10K (найдена поиском)</t>
        </is>
      </c>
      <c r="H38" t="inlineStr">
        <is>
          <t>проверить вручную</t>
        </is>
      </c>
      <c r="I38" t="inlineStr">
        <is>
          <t>2026-09-29</t>
        </is>
      </c>
      <c r="J38" t="inlineStr">
        <is>
          <t>открыто</t>
        </is>
      </c>
    </row>
    <row r="39">
      <c r="A39" t="inlineStr">
        <is>
          <t>S100</t>
        </is>
      </c>
      <c r="B39" t="inlineStr">
        <is>
          <t>Huntingdonshire District Council</t>
        </is>
      </c>
      <c r="C39" t="inlineStr">
        <is>
          <t>https://www.ticketsource.co.uk/hinchingbrooke-country-park</t>
        </is>
      </c>
      <c r="D39" t="inlineStr">
        <is>
          <t>страница отвечает 403</t>
        </is>
      </c>
      <c r="E39" t="inlineStr">
        <is>
          <t>robots.txt: HTTP 403 (4xx — правил нет, RFC 9309); страница: 403</t>
        </is>
      </c>
      <c r="F39" t="inlineStr">
        <is>
          <t>2026-09-29</t>
        </is>
      </c>
      <c r="G39" t="inlineStr">
        <is>
          <t>события Hinchingbrooke Country Park (TicketSource)</t>
        </is>
      </c>
      <c r="H39" t="inlineStr">
        <is>
          <t>проверить вручную</t>
        </is>
      </c>
      <c r="I39" t="inlineStr">
        <is>
          <t>2026-09-29</t>
        </is>
      </c>
      <c r="J39" t="inlineStr">
        <is>
          <t>открыто</t>
        </is>
      </c>
    </row>
    <row r="40">
      <c r="A40" t="inlineStr">
        <is>
          <t>S101</t>
        </is>
      </c>
      <c r="B40" t="inlineStr">
        <is>
          <t>Fenland District Council</t>
        </is>
      </c>
      <c r="C40" t="inlineStr">
        <is>
          <t>https://www.fenland.gov.uk/events</t>
        </is>
      </c>
      <c r="D40" t="inlineStr">
        <is>
          <t>заглушка или проверка бот-защиты</t>
        </is>
      </c>
      <c r="E40" t="inlineStr">
        <is>
          <t>robots.txt: HTTP 403 (4xx — правил нет, RFC 9309); страница: 403</t>
        </is>
      </c>
      <c r="F40" t="inlineStr">
        <is>
          <t>2026-09-29</t>
        </is>
      </c>
      <c r="G40" t="inlineStr"/>
      <c r="H40" t="inlineStr">
        <is>
          <t>проверить вручную</t>
        </is>
      </c>
      <c r="I40" t="inlineStr">
        <is>
          <t>2026-09-29</t>
        </is>
      </c>
      <c r="J40" t="inlineStr">
        <is>
          <t>открыто</t>
        </is>
      </c>
    </row>
    <row r="41">
      <c r="A41" t="inlineStr">
        <is>
          <t>S103</t>
        </is>
      </c>
      <c r="B41" t="inlineStr">
        <is>
          <t>Ely City Council</t>
        </is>
      </c>
      <c r="C41" t="inlineStr">
        <is>
          <t>https://www.cityofelycouncil.org.uk/</t>
        </is>
      </c>
      <c r="D41" t="inlineStr">
        <is>
          <t>заглушка или проверка бот-защиты</t>
        </is>
      </c>
      <c r="E41" t="inlineStr">
        <is>
          <t>robots.txt: HTTP 403 (4xx — правил нет, RFC 9309); страница: 403</t>
        </is>
      </c>
      <c r="F41" t="inlineStr">
        <is>
          <t>2026-09-29</t>
        </is>
      </c>
      <c r="G41" t="inlineStr"/>
      <c r="H41" t="inlineStr">
        <is>
          <t>проверить вручную</t>
        </is>
      </c>
      <c r="I41" t="inlineStr">
        <is>
          <t>2026-09-29</t>
        </is>
      </c>
      <c r="J41" t="inlineStr">
        <is>
          <t>открыто</t>
        </is>
      </c>
    </row>
    <row r="42">
      <c r="A42" t="inlineStr">
        <is>
          <t>S104</t>
        </is>
      </c>
      <c r="B42" t="inlineStr">
        <is>
          <t>St Ives Town Council</t>
        </is>
      </c>
      <c r="C42" t="inlineStr">
        <is>
          <t>https://www.stivestowncouncil.gov.uk/</t>
        </is>
      </c>
      <c r="D42" t="inlineStr">
        <is>
          <t>заглушка или проверка бот-защиты</t>
        </is>
      </c>
      <c r="E42" t="inlineStr">
        <is>
          <t>robots.txt: HTTP 403 (4xx — правил нет, RFC 9309); страница: 403</t>
        </is>
      </c>
      <c r="F42" t="inlineStr">
        <is>
          <t>2026-09-29</t>
        </is>
      </c>
      <c r="G42" t="inlineStr"/>
      <c r="H42" t="inlineStr">
        <is>
          <t>проверить вручную</t>
        </is>
      </c>
      <c r="I42" t="inlineStr">
        <is>
          <t>2026-09-29</t>
        </is>
      </c>
      <c r="J42" t="inlineStr">
        <is>
          <t>открыто</t>
        </is>
      </c>
    </row>
    <row r="43">
      <c r="A43" t="inlineStr">
        <is>
          <t>S106</t>
        </is>
      </c>
      <c r="B43" t="inlineStr">
        <is>
          <t>Huntingdon Town Council</t>
        </is>
      </c>
      <c r="C43" t="inlineStr">
        <is>
          <t>https://www.huntingdontown.gov.uk/council_events/</t>
        </is>
      </c>
      <c r="D43" t="inlineStr">
        <is>
          <t>заглушка или проверка бот-защиты</t>
        </is>
      </c>
      <c r="E43" t="inlineStr">
        <is>
          <t>robots.txt: HTTP 403 (4xx — правил нет, RFC 9309); страница: 403</t>
        </is>
      </c>
      <c r="F43" t="inlineStr">
        <is>
          <t>2026-09-29</t>
        </is>
      </c>
      <c r="G43" t="inlineStr"/>
      <c r="H43" t="inlineStr">
        <is>
          <t>проверить вручную</t>
        </is>
      </c>
      <c r="I43" t="inlineStr">
        <is>
          <t>2026-09-29</t>
        </is>
      </c>
      <c r="J43" t="inlineStr">
        <is>
          <t>открыто</t>
        </is>
      </c>
    </row>
    <row r="44">
      <c r="A44" t="inlineStr">
        <is>
          <t>S112</t>
        </is>
      </c>
      <c r="B44" t="inlineStr">
        <is>
          <t>Soham Town Council</t>
        </is>
      </c>
      <c r="C44" t="inlineStr">
        <is>
          <t>https://www.soham-tc.gov.uk/council_events/</t>
        </is>
      </c>
      <c r="D44" t="inlineStr">
        <is>
          <t>заглушка или проверка бот-защиты</t>
        </is>
      </c>
      <c r="E44" t="inlineStr">
        <is>
          <t>robots.txt: HTTP 403 (4xx — правил нет, RFC 9309); страница: 403</t>
        </is>
      </c>
      <c r="F44" t="inlineStr">
        <is>
          <t>2026-09-29</t>
        </is>
      </c>
      <c r="G44" t="inlineStr"/>
      <c r="H44" t="inlineStr">
        <is>
          <t>проверить вручную</t>
        </is>
      </c>
      <c r="I44" t="inlineStr">
        <is>
          <t>2026-09-29</t>
        </is>
      </c>
      <c r="J44" t="inlineStr">
        <is>
          <t>открыто</t>
        </is>
      </c>
    </row>
    <row r="45">
      <c r="A45" t="inlineStr">
        <is>
          <t>S114</t>
        </is>
      </c>
      <c r="B45" t="inlineStr">
        <is>
          <t>Visit Peterborough</t>
        </is>
      </c>
      <c r="C45" t="inlineStr">
        <is>
          <t>https://www.visitpeterborough.com/whats-on</t>
        </is>
      </c>
      <c r="D45" t="inlineStr">
        <is>
          <t>заглушка или проверка бот-защиты</t>
        </is>
      </c>
      <c r="E45" t="inlineStr">
        <is>
          <t>robots.txt: HTTP 403 (4xx — правил нет, RFC 9309); страница: 403</t>
        </is>
      </c>
      <c r="F45" t="inlineStr">
        <is>
          <t>2026-09-29</t>
        </is>
      </c>
      <c r="G45" t="inlineStr">
        <is>
          <t>события Питерборо из Visit Peterborough</t>
        </is>
      </c>
      <c r="H45" t="inlineStr">
        <is>
          <t>проверить вручную</t>
        </is>
      </c>
      <c r="I45" t="inlineStr">
        <is>
          <t>2026-09-29</t>
        </is>
      </c>
      <c r="J45" t="inlineStr">
        <is>
          <t>открыто</t>
        </is>
      </c>
    </row>
    <row r="46">
      <c r="A46" t="inlineStr">
        <is>
          <t>S120</t>
        </is>
      </c>
      <c r="B46" t="inlineStr">
        <is>
          <t>Peterborough Cathedral</t>
        </is>
      </c>
      <c r="C46" t="inlineStr">
        <is>
          <t>https://peterborough-cathedral.org.uk/whats-on/</t>
        </is>
      </c>
      <c r="D46" t="inlineStr">
        <is>
          <t>страница отвечает ошибкой</t>
        </is>
      </c>
      <c r="E46" t="inlineStr">
        <is>
          <t>robots.txt: HTTP 200; страница: 404</t>
        </is>
      </c>
      <c r="F46" t="inlineStr">
        <is>
          <t>2026-09-29</t>
        </is>
      </c>
      <c r="G46" t="inlineStr">
        <is>
          <t>концерты собора Питерборо (часть — Ents24/Skiddle)</t>
        </is>
      </c>
      <c r="H46" t="inlineStr">
        <is>
          <t>перепроверить позже</t>
        </is>
      </c>
      <c r="I46" t="inlineStr">
        <is>
          <t>2026-09-29</t>
        </is>
      </c>
      <c r="J46" t="inlineStr">
        <is>
          <t>открыто</t>
        </is>
      </c>
    </row>
    <row r="47">
      <c r="A47" t="inlineStr">
        <is>
          <t>S127</t>
        </is>
      </c>
      <c r="B47" t="inlineStr">
        <is>
          <t>Saffron Walden / Newmarket — Town Councils</t>
        </is>
      </c>
      <c r="C47" t="inlineStr">
        <is>
          <t>https://www.saffronwalden.gov.uk/</t>
        </is>
      </c>
      <c r="D47" t="inlineStr">
        <is>
          <t>заглушка или проверка бот-защиты</t>
        </is>
      </c>
      <c r="E47" t="inlineStr">
        <is>
          <t>robots.txt: HTTP 200; страница: 403</t>
        </is>
      </c>
      <c r="F47" t="inlineStr">
        <is>
          <t>2026-09-29</t>
        </is>
      </c>
      <c r="G47" t="inlineStr"/>
      <c r="H47" t="inlineStr">
        <is>
          <t>проверить вручную</t>
        </is>
      </c>
      <c r="I47" t="inlineStr">
        <is>
          <t>2026-09-29</t>
        </is>
      </c>
      <c r="J47" t="inlineStr">
        <is>
          <t>открыто</t>
        </is>
      </c>
    </row>
    <row r="48">
      <c r="A48" t="inlineStr">
        <is>
          <t>S131</t>
        </is>
      </c>
      <c r="B48" t="inlineStr">
        <is>
          <t>Cambridge Past, Present &amp; Future</t>
        </is>
      </c>
      <c r="C48" t="inlineStr">
        <is>
          <t>https://cambridgeppf.org/whats-on/</t>
        </is>
      </c>
      <c r="D48" t="inlineStr">
        <is>
          <t>заглушка или проверка бот-защиты</t>
        </is>
      </c>
      <c r="E48" t="inlineStr">
        <is>
          <t>30.09 днём нашему боту — страница-заглушка «перезагрузка через 5 секунд» (JS-проверка); утром отдавалась обычная страница. Не обходим.</t>
        </is>
      </c>
      <c r="F48" t="inlineStr">
        <is>
          <t>2026-09-30</t>
        </is>
      </c>
      <c r="G48" t="inlineStr">
        <is>
          <t>~110 событий Wandlebury, Leper Chapel и др. (данные прошлого сбора остаются)</t>
        </is>
      </c>
      <c r="H48" t="inlineStr">
        <is>
          <t>перепроверить в следующем прогоне</t>
        </is>
      </c>
      <c r="I48" t="inlineStr">
        <is>
          <t>2026-09-30</t>
        </is>
      </c>
      <c r="J48" t="inlineStr">
        <is>
          <t>открыто</t>
        </is>
      </c>
    </row>
    <row r="49">
      <c r="A49" t="inlineStr">
        <is>
          <t>S133</t>
        </is>
      </c>
      <c r="B49" t="inlineStr">
        <is>
          <t>Nene Park / Ferry Meadows</t>
        </is>
      </c>
      <c r="C49" t="inlineStr">
        <is>
          <t>https://www.nenepark.org.uk/events/</t>
        </is>
      </c>
      <c r="D49" t="inlineStr">
        <is>
          <t>обрыв соединения</t>
        </is>
      </c>
      <c r="E49" t="inlineStr">
        <is>
          <t>robots.txt: HTTP -1</t>
        </is>
      </c>
      <c r="F49" t="inlineStr">
        <is>
          <t>2026-09-29</t>
        </is>
      </c>
      <c r="G49" t="inlineStr">
        <is>
          <t>события Ferry Meadows / Nene Park</t>
        </is>
      </c>
      <c r="H49" t="inlineStr">
        <is>
          <t>перепроверить позже</t>
        </is>
      </c>
      <c r="I49" t="inlineStr">
        <is>
          <t>2026-09-29</t>
        </is>
      </c>
      <c r="J49" t="inlineStr">
        <is>
          <t>открыто</t>
        </is>
      </c>
    </row>
    <row r="50">
      <c r="A50" t="inlineStr">
        <is>
          <t>S135</t>
        </is>
      </c>
      <c r="B50" t="inlineStr">
        <is>
          <t>Shepreth Wildlife Park</t>
        </is>
      </c>
      <c r="C50" t="inlineStr">
        <is>
          <t>https://www.sheprethwildlifepark.co.uk/</t>
        </is>
      </c>
      <c r="D50" t="inlineStr">
        <is>
          <t>страница отвечает 403</t>
        </is>
      </c>
      <c r="E50" t="inlineStr">
        <is>
          <t>robots.txt: HTTP 403 (4xx — правил нет, RFC 9309); страница: 403</t>
        </is>
      </c>
      <c r="F50" t="inlineStr">
        <is>
          <t>2026-09-29</t>
        </is>
      </c>
      <c r="G50" t="inlineStr">
        <is>
          <t>события Shepreth Wildlife Park</t>
        </is>
      </c>
      <c r="H50" t="inlineStr">
        <is>
          <t>проверить вручную</t>
        </is>
      </c>
      <c r="I50" t="inlineStr">
        <is>
          <t>2026-09-29</t>
        </is>
      </c>
      <c r="J50" t="inlineStr">
        <is>
          <t>открыто</t>
        </is>
      </c>
    </row>
    <row r="51">
      <c r="A51" t="inlineStr">
        <is>
          <t>S142</t>
        </is>
      </c>
      <c r="B51" t="inlineStr">
        <is>
          <t>ChurchSuite</t>
        </is>
      </c>
      <c r="C51" t="inlineStr">
        <is>
          <t>https://churchsuite.com/</t>
        </is>
      </c>
      <c r="D51" t="inlineStr">
        <is>
          <t>заглушка или проверка бот-защиты</t>
        </is>
      </c>
      <c r="E51" t="inlineStr">
        <is>
          <t>robots.txt: HTTP 200; страница: 403</t>
        </is>
      </c>
      <c r="F51" t="inlineStr">
        <is>
          <t>2026-09-29</t>
        </is>
      </c>
      <c r="G51" t="inlineStr">
        <is>
          <t>календари приходов на ChurchSuite</t>
        </is>
      </c>
      <c r="H51" t="inlineStr">
        <is>
          <t>проверить вручную</t>
        </is>
      </c>
      <c r="I51" t="inlineStr">
        <is>
          <t>2026-09-29</t>
        </is>
      </c>
      <c r="J51" t="inlineStr">
        <is>
          <t>открыто</t>
        </is>
      </c>
    </row>
    <row r="52">
      <c r="A52" t="inlineStr">
        <is>
          <t>S156</t>
        </is>
      </c>
      <c r="B52" t="inlineStr">
        <is>
          <t>Vue Cambridge (The Grafton)</t>
        </is>
      </c>
      <c r="C52" t="inlineStr">
        <is>
          <t>https://www.myvue.com/cinema/cambridge/whats-on</t>
        </is>
      </c>
      <c r="D52" t="inlineStr">
        <is>
          <t>заглушка или проверка бот-защиты</t>
        </is>
      </c>
      <c r="E52" t="inlineStr">
        <is>
          <t>robots.txt 200; страница 403 (бот-защита)</t>
        </is>
      </c>
      <c r="F52" t="inlineStr">
        <is>
          <t>2026-09-29</t>
        </is>
      </c>
      <c r="G52" t="inlineStr">
        <is>
          <t>новые фильмы и спецпоказы Vue</t>
        </is>
      </c>
      <c r="H52" t="inlineStr">
        <is>
          <t>перепроверить позже; найти поиском</t>
        </is>
      </c>
      <c r="I52" t="inlineStr">
        <is>
          <t>2026-09-29</t>
        </is>
      </c>
      <c r="J52" t="inlineStr">
        <is>
          <t>открыто</t>
        </is>
      </c>
    </row>
    <row r="53">
      <c r="A53" t="inlineStr">
        <is>
          <t>S157</t>
        </is>
      </c>
      <c r="B53" t="inlineStr">
        <is>
          <t>Light Cinema Cambridge (Leisure Park)</t>
        </is>
      </c>
      <c r="C53" t="inlineStr">
        <is>
          <t>https://www.thelight.co.uk/cinema/cambridge</t>
        </is>
      </c>
      <c r="D53" t="inlineStr">
        <is>
          <t>страница только на скриптах</t>
        </is>
      </c>
      <c r="E53" t="inlineStr">
        <is>
          <t>страница без текста — афиша только скриптом</t>
        </is>
      </c>
      <c r="F53" t="inlineStr">
        <is>
          <t>2026-09-29</t>
        </is>
      </c>
      <c r="G53" t="inlineStr">
        <is>
          <t>новые фильмы и спецпоказы Light</t>
        </is>
      </c>
      <c r="H53" t="inlineStr">
        <is>
          <t>перепроверить позже; найти поиском</t>
        </is>
      </c>
      <c r="I53" t="inlineStr">
        <is>
          <t>2026-09-29</t>
        </is>
      </c>
      <c r="J53" t="inlineStr">
        <is>
          <t>открыто</t>
        </is>
      </c>
    </row>
    <row r="54">
      <c r="A54" t="inlineStr">
        <is>
          <t>S158</t>
        </is>
      </c>
      <c r="B54" t="inlineStr">
        <is>
          <t>Saffron Screen (Saffron Walden)</t>
        </is>
      </c>
      <c r="C54" t="inlineStr">
        <is>
          <t>https://www.saffronscreen.com/</t>
        </is>
      </c>
      <c r="D54" t="inlineStr">
        <is>
          <t>заглушка или проверка бот-защиты</t>
        </is>
      </c>
      <c r="E54" t="inlineStr">
        <is>
          <t>HTTP 202, заглушка бот-защиты</t>
        </is>
      </c>
      <c r="F54" t="inlineStr">
        <is>
          <t>2026-09-29</t>
        </is>
      </c>
      <c r="G54" t="inlineStr">
        <is>
          <t>фильмы и спецпоказы Saffron Screen</t>
        </is>
      </c>
      <c r="H54" t="inlineStr">
        <is>
          <t>перепроверить позже; найти поиском</t>
        </is>
      </c>
      <c r="I54" t="inlineStr">
        <is>
          <t>2026-09-29</t>
        </is>
      </c>
      <c r="J54" t="inlineStr">
        <is>
          <t>открыто</t>
        </is>
      </c>
    </row>
    <row r="55">
      <c r="A55" t="inlineStr">
        <is>
          <t>S159</t>
        </is>
      </c>
      <c r="B55" t="inlineStr">
        <is>
          <t>Babylon Cinema (Ely Maltings)</t>
        </is>
      </c>
      <c r="C55" t="inlineStr">
        <is>
          <t>https://www.babylonely.co.uk/</t>
        </is>
      </c>
      <c r="D55" t="inlineStr">
        <is>
          <t>обрыв соединения</t>
        </is>
      </c>
      <c r="E55" t="inlineStr">
        <is>
          <t>robots.txt: обрыв соединения</t>
        </is>
      </c>
      <c r="F55" t="inlineStr">
        <is>
          <t>2026-09-29</t>
        </is>
      </c>
      <c r="G55" t="inlineStr">
        <is>
          <t>фильмы Babylon Ely</t>
        </is>
      </c>
      <c r="H55" t="inlineStr">
        <is>
          <t>перепроверить позже; найти поиском</t>
        </is>
      </c>
      <c r="I55" t="inlineStr">
        <is>
          <t>2026-09-29</t>
        </is>
      </c>
      <c r="J55" t="inlineStr">
        <is>
          <t>открыто</t>
        </is>
      </c>
    </row>
    <row r="56">
      <c r="A56" t="inlineStr">
        <is>
          <t>S160</t>
        </is>
      </c>
      <c r="B56" t="inlineStr">
        <is>
          <t>CURUFC — Cambridge University Rugby (Grange Road)</t>
        </is>
      </c>
      <c r="C56" t="inlineStr">
        <is>
          <t>https://curufc.com/events-tickets/fixtures/</t>
        </is>
      </c>
      <c r="D56" t="inlineStr">
        <is>
          <t>заглушка или проверка бот-защиты</t>
        </is>
      </c>
      <c r="E56" t="inlineStr">
        <is>
          <t>HTTP 202, заглушка бот-защиты</t>
        </is>
      </c>
      <c r="F56" t="inlineStr">
        <is>
          <t>2026-09-29</t>
        </is>
      </c>
      <c r="G56" t="inlineStr">
        <is>
          <t>матчи университетского регби с публикой</t>
        </is>
      </c>
      <c r="H56" t="inlineStr">
        <is>
          <t>перепроверить позже; найти поиском</t>
        </is>
      </c>
      <c r="I56" t="inlineStr">
        <is>
          <t>2026-09-29</t>
        </is>
      </c>
      <c r="J56" t="inlineStr">
        <is>
          <t>открыто</t>
        </is>
      </c>
    </row>
    <row r="57">
      <c r="A57" t="inlineStr">
        <is>
          <t>S161</t>
        </is>
      </c>
      <c r="B57" t="inlineStr">
        <is>
          <t>FA Full-Time (нелиговый и женский футбол)</t>
        </is>
      </c>
      <c r="C57" t="inlineStr">
        <is>
          <t>https://fulltime.thefa.com/</t>
        </is>
      </c>
      <c r="D57" t="inlineStr">
        <is>
          <t>заглушка или проверка бот-защиты</t>
        </is>
      </c>
      <c r="E57" t="inlineStr">
        <is>
          <t>robots.txt 403 (правил нет), страница 403</t>
        </is>
      </c>
      <c r="F57" t="inlineStr">
        <is>
          <t>2026-09-29</t>
        </is>
      </c>
      <c r="G57" t="inlineStr">
        <is>
          <t>календари нелиговых и женских команд</t>
        </is>
      </c>
      <c r="H57" t="inlineStr">
        <is>
          <t>перепроверить позже; найти поиском</t>
        </is>
      </c>
      <c r="I57" t="inlineStr">
        <is>
          <t>2026-09-29</t>
        </is>
      </c>
      <c r="J57" t="inlineStr">
        <is>
          <t>открыто</t>
        </is>
      </c>
    </row>
    <row r="58">
      <c r="A58" t="inlineStr">
        <is>
          <t>S162</t>
        </is>
      </c>
      <c r="B58" t="inlineStr">
        <is>
          <t>Cambridge Kids Club</t>
        </is>
      </c>
      <c r="C58" t="inlineStr">
        <is>
          <t>https://cambridgekidsclub.com/holiday-playschemes/</t>
        </is>
      </c>
      <c r="D58" t="inlineStr">
        <is>
          <t>заглушка или проверка бот-защиты</t>
        </is>
      </c>
      <c r="E58" t="inlineStr">
        <is>
          <t>Cloudflare challenge (cf-mitigated: challenge)</t>
        </is>
      </c>
      <c r="F58" t="inlineStr">
        <is>
          <t>2026-09-29</t>
        </is>
      </c>
      <c r="G58" t="inlineStr">
        <is>
          <t>playscheme на октябрьские каникулы: 9 площадок, 4–11 лет</t>
        </is>
      </c>
      <c r="H58" t="inlineStr">
        <is>
          <t>проверить вручную; запросить у организатора</t>
        </is>
      </c>
      <c r="I58" t="inlineStr">
        <is>
          <t>2026-09-29</t>
        </is>
      </c>
      <c r="J58" t="inlineStr">
        <is>
          <t>открыто</t>
        </is>
      </c>
    </row>
    <row r="59">
      <c r="A59" t="inlineStr">
        <is>
          <t>P:childcare.admin.cam.ac.uk</t>
        </is>
      </c>
      <c r="B59" t="inlineStr">
        <is>
          <t>University of Cambridge Childcare Office — University Holiday Playscheme</t>
        </is>
      </c>
      <c r="C59" t="inlineStr">
        <is>
          <t>https://www.childcare.admin.cam.ac.uk/university-holiday-playscheme</t>
        </is>
      </c>
      <c r="D59" t="inlineStr">
        <is>
          <t>страница отвечает 403</t>
        </is>
      </c>
      <c r="E59" t="inlineStr">
        <is>
          <t>страница провайдера открылась</t>
        </is>
      </c>
      <c r="F59" t="inlineStr">
        <is>
          <t>2026-09-29</t>
        </is>
      </c>
      <c r="G59" t="inlineStr">
        <is>
          <t>каникулярные программы провайдера</t>
        </is>
      </c>
      <c r="H59" t="inlineStr">
        <is>
          <t>проверить вручную; найти поиском</t>
        </is>
      </c>
      <c r="I59" t="inlineStr">
        <is>
          <t>2026-09-29</t>
        </is>
      </c>
      <c r="J59" t="inlineStr">
        <is>
          <t>решено</t>
        </is>
      </c>
    </row>
    <row r="60">
      <c r="A60" t="inlineStr">
        <is>
          <t>P:firefliesforestschool.co.uk</t>
        </is>
      </c>
      <c r="B60" t="inlineStr">
        <is>
          <t>Fireflies Forest School</t>
        </is>
      </c>
      <c r="C60" t="inlineStr">
        <is>
          <t>https://firefliesforestschool.co.uk/about-us</t>
        </is>
      </c>
      <c r="D60" t="inlineStr">
        <is>
          <t>обрыв соединения</t>
        </is>
      </c>
      <c r="E60" t="inlineStr">
        <is>
          <t>страница провайдера открылась</t>
        </is>
      </c>
      <c r="F60" t="inlineStr">
        <is>
          <t>2026-09-29</t>
        </is>
      </c>
      <c r="G60" t="inlineStr">
        <is>
          <t>каникулярные программы и секции провайдера</t>
        </is>
      </c>
      <c r="H60" t="inlineStr">
        <is>
          <t>перепроверить позже; найти поиском</t>
        </is>
      </c>
      <c r="I60" t="inlineStr">
        <is>
          <t>2026-09-29</t>
        </is>
      </c>
      <c r="J60" t="inlineStr">
        <is>
          <t>решено</t>
        </is>
      </c>
    </row>
    <row r="61">
      <c r="A61" t="inlineStr">
        <is>
          <t>P:kidsrusoosc.org</t>
        </is>
      </c>
      <c r="B61" t="inlineStr">
        <is>
          <t>Kids R Us holiday club</t>
        </is>
      </c>
      <c r="C61" t="inlineStr">
        <is>
          <t>https://kidsrusoosc.org/holiday-club/</t>
        </is>
      </c>
      <c r="D61" t="inlineStr">
        <is>
          <t>обрыв соединения</t>
        </is>
      </c>
      <c r="E61" t="inlineStr">
        <is>
          <t>страница провайдера открылась</t>
        </is>
      </c>
      <c r="F61" t="inlineStr">
        <is>
          <t>2026-09-29</t>
        </is>
      </c>
      <c r="G61" t="inlineStr">
        <is>
          <t>каникулярные программы и секции провайдера</t>
        </is>
      </c>
      <c r="H61" t="inlineStr">
        <is>
          <t>перепроверить позже; найти поиском</t>
        </is>
      </c>
      <c r="I61" t="inlineStr">
        <is>
          <t>2026-09-29</t>
        </is>
      </c>
      <c r="J61" t="inlineStr">
        <is>
          <t>решено</t>
        </is>
      </c>
    </row>
    <row r="62">
      <c r="A62" t="inlineStr">
        <is>
          <t>P:sport.cam.ac.uk</t>
        </is>
      </c>
      <c r="B62" t="inlineStr">
        <is>
          <t>Sport at Cambridge — children's athletics camps</t>
        </is>
      </c>
      <c r="C62" t="inlineStr">
        <is>
          <t>https://www.sport.cam.ac.uk/childrens-athletic-camps</t>
        </is>
      </c>
      <c r="D62" t="inlineStr">
        <is>
          <t>страница отвечает 403</t>
        </is>
      </c>
      <c r="E62" t="inlineStr">
        <is>
          <t>страница провайдера открылась</t>
        </is>
      </c>
      <c r="F62" t="inlineStr">
        <is>
          <t>2026-09-29</t>
        </is>
      </c>
      <c r="G62" t="inlineStr">
        <is>
          <t>каникулярные программы провайдера</t>
        </is>
      </c>
      <c r="H62" t="inlineStr">
        <is>
          <t>проверить вручную; найти поиском</t>
        </is>
      </c>
      <c r="I62" t="inlineStr">
        <is>
          <t>2026-09-29</t>
        </is>
      </c>
      <c r="J62" t="inlineStr">
        <is>
          <t>решено</t>
        </is>
      </c>
    </row>
    <row r="63">
      <c r="A63" t="inlineStr">
        <is>
          <t>S019</t>
        </is>
      </c>
      <c r="B63" t="inlineStr">
        <is>
          <t>Cambridge City FC</t>
        </is>
      </c>
      <c r="C63" t="inlineStr">
        <is>
          <t>https://www.cambridgecityfc.com/fixtures/</t>
        </is>
      </c>
      <c r="D63" t="inlineStr">
        <is>
          <t>страница отвечает ошибкой</t>
        </is>
      </c>
      <c r="E63" t="inlineStr">
        <is>
          <t>подключён: события на главной cambridgecityfc.com (страница /fixtures/ — 404)</t>
        </is>
      </c>
      <c r="F63" t="inlineStr">
        <is>
          <t>2026-09-29</t>
        </is>
      </c>
      <c r="G63" t="inlineStr"/>
      <c r="H63" t="inlineStr">
        <is>
          <t>перепроверить позже</t>
        </is>
      </c>
      <c r="I63" t="inlineStr">
        <is>
          <t>2026-09-29</t>
        </is>
      </c>
      <c r="J63" t="inlineStr">
        <is>
          <t>решено</t>
        </is>
      </c>
    </row>
    <row r="64">
      <c r="A64" t="inlineStr">
        <is>
          <t>S020</t>
        </is>
      </c>
      <c r="B64" t="inlineStr">
        <is>
          <t>Cambridge Rugby Club</t>
        </is>
      </c>
      <c r="C64" t="inlineStr">
        <is>
          <t>https://www.cambridgerugbyclub.co.uk/fixtures</t>
        </is>
      </c>
      <c r="D64" t="inlineStr">
        <is>
          <t>обрыв соединения</t>
        </is>
      </c>
      <c r="E64" t="inlineStr">
        <is>
          <t>подключён: календарь National League 1 — PDF на nationalleaguerugby.com (сайт клуба закрыт)</t>
        </is>
      </c>
      <c r="F64" t="inlineStr">
        <is>
          <t>2026-09-29</t>
        </is>
      </c>
      <c r="G64" t="inlineStr">
        <is>
          <t>домашние матчи Cambridge RUFC</t>
        </is>
      </c>
      <c r="H64" t="inlineStr">
        <is>
          <t>перепроверить позже</t>
        </is>
      </c>
      <c r="I64" t="inlineStr">
        <is>
          <t>2026-09-29</t>
        </is>
      </c>
      <c r="J64" t="inlineStr">
        <is>
          <t>решено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2026-09-23T20:44:36Z</dcterms:created>
  <dcterms:modified xsi:type="dcterms:W3CDTF">2026-09-30T14:16:41Z</dcterms:modified>
  <cp:revision>0</cp:revision>
</cp:coreProperties>
</file>