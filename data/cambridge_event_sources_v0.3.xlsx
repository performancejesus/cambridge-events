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Источники" sheetId="2" state="visible" r:id="rId4"/>
    <sheet name="Сводка" sheetId="3" state="visible" r:id="rId5"/>
    <sheet name="Схема события" sheetId="4" state="visible" r:id="rId6"/>
    <sheet name="Категории и теги" sheetId="5" state="visible" r:id="rId7"/>
  </sheets>
  <definedNames>
    <definedName function="false" hidden="true" localSheetId="1" name="_xlnm._FilterDatabase" vbProcedure="false">Источники!$A$1:$L$90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<sst xmlns="http://schemas.openxmlformats.org/spreadsheetml/2006/main" count="1110" uniqueCount="546">
  <si>
    <t xml:space="preserve">Реестр источников событий — Кембридж и окрестности (v0.3, сентябрь 2026)</t>
  </si>
  <si>
    <t xml:space="preserve">Источники — основная таблица. Одна строка = один источник. Фильтры в заголовке.</t>
  </si>
  <si>
    <t xml:space="preserve">Жёлтым выделено: URL не проверен или не указан — нужно найти/подтвердить перед написанием парсера.</t>
  </si>
  <si>
    <t xml:space="preserve">«URL проверен = да» — адрес подтверждён поиском; «проверить» — источник известен, но адрес и формат нужно сверить.</t>
  </si>
  <si>
    <t xml:space="preserve">Приоритет: 1 — брать в MVP, 2 — вторая волна, 3 — когда будет время.</t>
  </si>
  <si>
    <t xml:space="preserve">Способ сбора: RSS / iCal / API — дешёвый и надёжный; HTML — парсинг; Ручной — ежегодные события, проще завести руками.</t>
  </si>
  <si>
    <t xml:space="preserve">Сводка — счётчики по категориям (формулы, пересчитываются сами).</t>
  </si>
  <si>
    <t xml:space="preserve">Схема события — поля, которые парсер должен заполнять для каждого события.</t>
  </si>
  <si>
    <t xml:space="preserve">Категории и теги — справочник значений для полей category и тегов.</t>
  </si>
  <si>
    <t xml:space="preserve">Пример строки: S047 Talks.cam — готовые iCal/RSS/XML-фиды с датой, местом и организатором; приоритет 1.</t>
  </si>
  <si>
    <t xml:space="preserve">ID</t>
  </si>
  <si>
    <t xml:space="preserve">Категория</t>
  </si>
  <si>
    <t xml:space="preserve">Источник</t>
  </si>
  <si>
    <t xml:space="preserve">Тип источника</t>
  </si>
  <si>
    <t xml:space="preserve">URL</t>
  </si>
  <si>
    <t xml:space="preserve">Что покрывает</t>
  </si>
  <si>
    <t xml:space="preserve">Зона</t>
  </si>
  <si>
    <t xml:space="preserve">Способ сбора</t>
  </si>
  <si>
    <t xml:space="preserve">Частота</t>
  </si>
  <si>
    <t xml:space="preserve">Приоритет</t>
  </si>
  <si>
    <t xml:space="preserve">URL проверен</t>
  </si>
  <si>
    <t xml:space="preserve">Заметки</t>
  </si>
  <si>
    <t xml:space="preserve">S001</t>
  </si>
  <si>
    <t xml:space="preserve">Сквозные агрегаторы</t>
  </si>
  <si>
    <t xml:space="preserve">Visit Cambridge — events</t>
  </si>
  <si>
    <t xml:space="preserve">Агрегатор</t>
  </si>
  <si>
    <t xml:space="preserve">https://www.visitcambridge.org</t>
  </si>
  <si>
    <t xml:space="preserve">Официальный туристический календарь, все категории</t>
  </si>
  <si>
    <t xml:space="preserve">Центр</t>
  </si>
  <si>
    <t xml:space="preserve">HTML (уточнить фид)</t>
  </si>
  <si>
    <t xml:space="preserve">Ежедневно</t>
  </si>
  <si>
    <t xml:space="preserve">да</t>
  </si>
  <si>
    <t xml:space="preserve">Хорошая опорная база, но туристический уклон</t>
  </si>
  <si>
    <t xml:space="preserve">S002</t>
  </si>
  <si>
    <t xml:space="preserve">What's On In Cambridge</t>
  </si>
  <si>
    <t xml:space="preserve">https://www.whatsonincambridge.com/events/</t>
  </si>
  <si>
    <t xml:space="preserve">Календарь событий, все категории</t>
  </si>
  <si>
    <t xml:space="preserve">HTML</t>
  </si>
  <si>
    <t xml:space="preserve">Сами предупреждают, что обновляют не каждый день — использовать как подсказку, сверять с первоисточником</t>
  </si>
  <si>
    <t xml:space="preserve">S003</t>
  </si>
  <si>
    <t xml:space="preserve">Cambridge Independent — What's On</t>
  </si>
  <si>
    <t xml:space="preserve">СМИ</t>
  </si>
  <si>
    <t xml:space="preserve">https://www.cambridgeindependent.co.uk/whats-on/</t>
  </si>
  <si>
    <t xml:space="preserve">Анонсы концертов, театра, кино, семейного</t>
  </si>
  <si>
    <t xml:space="preserve">Центр + 30 мин</t>
  </si>
  <si>
    <t xml:space="preserve">HTML / RSS (уточнить)</t>
  </si>
  <si>
    <t xml:space="preserve">Также спортивный раздел — календари United</t>
  </si>
  <si>
    <t xml:space="preserve">S004</t>
  </si>
  <si>
    <t xml:space="preserve">Cambridge News / CambridgeshireLive</t>
  </si>
  <si>
    <t xml:space="preserve">https://www.cambridge-news.co.uk</t>
  </si>
  <si>
    <t xml:space="preserve">Новости, анонсы, отмены, перекрытия</t>
  </si>
  <si>
    <t xml:space="preserve">Центр + час</t>
  </si>
  <si>
    <t xml:space="preserve">RSS (уточнить)</t>
  </si>
  <si>
    <t xml:space="preserve">2–3 раза в день</t>
  </si>
  <si>
    <t xml:space="preserve">Ключевой источник для контура отмен</t>
  </si>
  <si>
    <t xml:space="preserve">S005</t>
  </si>
  <si>
    <t xml:space="preserve">Cambridge 105 — события</t>
  </si>
  <si>
    <t xml:space="preserve">СМИ / календарь</t>
  </si>
  <si>
    <t xml:space="preserve">https://cambridge105.co.uk</t>
  </si>
  <si>
    <t xml:space="preserve">Общественное радио, календарь местных событий</t>
  </si>
  <si>
    <t xml:space="preserve">Поймал Thriplow Daffodil Weekend — сильный источник по деревенскому long tail</t>
  </si>
  <si>
    <t xml:space="preserve">S006</t>
  </si>
  <si>
    <t xml:space="preserve">Ents24 — Cambridge</t>
  </si>
  <si>
    <t xml:space="preserve">https://www.ents24.com/whatson/cambridge</t>
  </si>
  <si>
    <t xml:space="preserve">Концерты, комедия, театр по всем площадкам</t>
  </si>
  <si>
    <t xml:space="preserve">Удобно ловить объявления новых шоу</t>
  </si>
  <si>
    <t xml:space="preserve">S007</t>
  </si>
  <si>
    <t xml:space="preserve">Skiddle — Cambridge</t>
  </si>
  <si>
    <t xml:space="preserve">Агрегатор / билеты</t>
  </si>
  <si>
    <t xml:space="preserve">https://www.skiddle.com/whats-on/Cambridge/</t>
  </si>
  <si>
    <t xml:space="preserve">Клубы, гиги, фестивали</t>
  </si>
  <si>
    <t xml:space="preserve">API (партнёрская программа)</t>
  </si>
  <si>
    <t xml:space="preserve">Есть API и партнёрка — сразу и данные, и монетизация</t>
  </si>
  <si>
    <t xml:space="preserve">S008</t>
  </si>
  <si>
    <t xml:space="preserve">Eventbrite — Cambridge</t>
  </si>
  <si>
    <t xml:space="preserve">https://www.eventbrite.co.uk</t>
  </si>
  <si>
    <t xml:space="preserve">Воркшопы, лекции, нетворкинг, благотворительность</t>
  </si>
  <si>
    <t xml:space="preserve">HTML (публичный поиск по API закрыт — проверить)</t>
  </si>
  <si>
    <t xml:space="preserve">проверить</t>
  </si>
  <si>
    <t xml:space="preserve">Много шума — нужен жёсткий фильтр</t>
  </si>
  <si>
    <t xml:space="preserve">S009</t>
  </si>
  <si>
    <t xml:space="preserve">Songkick — площадки Кембриджа</t>
  </si>
  <si>
    <t xml:space="preserve">https://www.songkick.com</t>
  </si>
  <si>
    <t xml:space="preserve">Концерты по площадкам</t>
  </si>
  <si>
    <t xml:space="preserve">HTML (API для новых партнёров ограничен — проверить)</t>
  </si>
  <si>
    <t xml:space="preserve">Еженедельно</t>
  </si>
  <si>
    <t xml:space="preserve">S010</t>
  </si>
  <si>
    <t xml:space="preserve">Peterborough Telegraph</t>
  </si>
  <si>
    <t xml:space="preserve">https://www.peterboroughtoday.co.uk</t>
  </si>
  <si>
    <t xml:space="preserve">Север графства: Уиттлси, Питерборо, фены</t>
  </si>
  <si>
    <t xml:space="preserve">Час</t>
  </si>
  <si>
    <t xml:space="preserve">Закрывает дыру по Straw Bear и северу</t>
  </si>
  <si>
    <t xml:space="preserve">S011</t>
  </si>
  <si>
    <t xml:space="preserve">Концерты</t>
  </si>
  <si>
    <t xml:space="preserve">Cambridge Corn Exchange</t>
  </si>
  <si>
    <t xml:space="preserve">Площадка</t>
  </si>
  <si>
    <t xml:space="preserve">https://cambridgelive.org.uk</t>
  </si>
  <si>
    <t xml:space="preserve">Крупные концерты, комедия, балет, городские события</t>
  </si>
  <si>
    <t xml:space="preserve">Сайт Cambridge Live — там же городские события (фейерверки и др.)</t>
  </si>
  <si>
    <t xml:space="preserve">S012</t>
  </si>
  <si>
    <t xml:space="preserve">Cambridge Junction</t>
  </si>
  <si>
    <t xml:space="preserve">https://www.junction.co.uk</t>
  </si>
  <si>
    <t xml:space="preserve">Концерты, комедия, клубные вечера, театр</t>
  </si>
  <si>
    <t xml:space="preserve">S013</t>
  </si>
  <si>
    <t xml:space="preserve">The Portland Arms</t>
  </si>
  <si>
    <t xml:space="preserve">Небольшие рок/инди-концерты</t>
  </si>
  <si>
    <t xml:space="preserve">Через Ents24/Skiddle</t>
  </si>
  <si>
    <t xml:space="preserve">Собственный сайт найти</t>
  </si>
  <si>
    <t xml:space="preserve">S014</t>
  </si>
  <si>
    <t xml:space="preserve">Storey's Field Centre (Eddington)</t>
  </si>
  <si>
    <t xml:space="preserve">Камерная музыка, фолк, джаз</t>
  </si>
  <si>
    <t xml:space="preserve">S015</t>
  </si>
  <si>
    <t xml:space="preserve">West Road Concert Hall</t>
  </si>
  <si>
    <t xml:space="preserve">Классика, университетские оркестры</t>
  </si>
  <si>
    <t xml:space="preserve">S016</t>
  </si>
  <si>
    <t xml:space="preserve">Хоровая музыка колледжей (King's, St John's, Trinity)</t>
  </si>
  <si>
    <t xml:space="preserve">Evensong, концерты хоров, органные вечера</t>
  </si>
  <si>
    <t xml:space="preserve">HTML по колледжам</t>
  </si>
  <si>
    <t xml:space="preserve">Бесплатно — хороший материал для рубрики «бесплатно»</t>
  </si>
  <si>
    <t xml:space="preserve">S017</t>
  </si>
  <si>
    <t xml:space="preserve">Saffron Hall</t>
  </si>
  <si>
    <t xml:space="preserve">Классика и крупные концерты</t>
  </si>
  <si>
    <t xml:space="preserve">Saffron Walden</t>
  </si>
  <si>
    <t xml:space="preserve">S018</t>
  </si>
  <si>
    <t xml:space="preserve">Спорт — смотреть</t>
  </si>
  <si>
    <t xml:space="preserve">Cambridge United</t>
  </si>
  <si>
    <t xml:space="preserve">Клуб</t>
  </si>
  <si>
    <t xml:space="preserve">https://www.cambridgeunited.com</t>
  </si>
  <si>
    <t xml:space="preserve">Матчи Лиги 1, кубки</t>
  </si>
  <si>
    <t xml:space="preserve">Синхронизация календаря (клуб её предлагает) / HTML</t>
  </si>
  <si>
    <t xml:space="preserve">Календарь сезона публикуется летом целиком</t>
  </si>
  <si>
    <t xml:space="preserve">S019</t>
  </si>
  <si>
    <t xml:space="preserve">Cambridge City FC</t>
  </si>
  <si>
    <t xml:space="preserve">Нон-лиг футбол</t>
  </si>
  <si>
    <t xml:space="preserve">30 мин</t>
  </si>
  <si>
    <t xml:space="preserve">S020</t>
  </si>
  <si>
    <t xml:space="preserve">Cambridge Rugby Club</t>
  </si>
  <si>
    <t xml:space="preserve">Регби, National League</t>
  </si>
  <si>
    <t xml:space="preserve">S021</t>
  </si>
  <si>
    <t xml:space="preserve">Newmarket Racecourses</t>
  </si>
  <si>
    <t xml:space="preserve">Скачки, летние концерты Newmarket Nights</t>
  </si>
  <si>
    <t xml:space="preserve">Сайт Jockey Club</t>
  </si>
  <si>
    <t xml:space="preserve">S022</t>
  </si>
  <si>
    <t xml:space="preserve">Huntingdon Racecourse</t>
  </si>
  <si>
    <t xml:space="preserve">Скачки</t>
  </si>
  <si>
    <t xml:space="preserve">S023</t>
  </si>
  <si>
    <t xml:space="preserve">CUCBC — May Bumps / Lent Bumps</t>
  </si>
  <si>
    <t xml:space="preserve">Организатор</t>
  </si>
  <si>
    <t xml:space="preserve">Университетские гонки гребных лодок: Lent Bumps (февраль–март) и May Bumps (июнь)</t>
  </si>
  <si>
    <t xml:space="preserve">Сезонно</t>
  </si>
  <si>
    <t xml:space="preserve">S024</t>
  </si>
  <si>
    <t xml:space="preserve">Town Bumps (Cambridgeshire Rowing Association)</t>
  </si>
  <si>
    <t xml:space="preserve">Городские гонки гребных лодок, лето</t>
  </si>
  <si>
    <t xml:space="preserve">S025</t>
  </si>
  <si>
    <t xml:space="preserve">Varsity-матчи (Oxford vs Cambridge)</t>
  </si>
  <si>
    <t xml:space="preserve">Регби, гребля и др. дерби университетов</t>
  </si>
  <si>
    <t xml:space="preserve">Центр + Лондон</t>
  </si>
  <si>
    <t xml:space="preserve">Ручной (календарь)</t>
  </si>
  <si>
    <t xml:space="preserve">Ежегодно</t>
  </si>
  <si>
    <t xml:space="preserve">S026</t>
  </si>
  <si>
    <t xml:space="preserve">Спорт — участвовать</t>
  </si>
  <si>
    <t xml:space="preserve">Chariots of Fire</t>
  </si>
  <si>
    <t xml:space="preserve">https://www.hcrlaw.com</t>
  </si>
  <si>
    <t xml:space="preserve">Благотворительная эстафета, сентябрь</t>
  </si>
  <si>
    <t xml:space="preserve">Ручной (ежегодно) + RunThrough</t>
  </si>
  <si>
    <t xml:space="preserve">Регистрация через RunThrough</t>
  </si>
  <si>
    <t xml:space="preserve">S027</t>
  </si>
  <si>
    <t xml:space="preserve">RunThrough — события в Кембридже</t>
  </si>
  <si>
    <t xml:space="preserve">Организатор / регистрация</t>
  </si>
  <si>
    <t xml:space="preserve">https://www.runthrough.co.uk</t>
  </si>
  <si>
    <t xml:space="preserve">Забеги, эстафеты</t>
  </si>
  <si>
    <t xml:space="preserve">S028</t>
  </si>
  <si>
    <t xml:space="preserve">Cambridge Half Marathon</t>
  </si>
  <si>
    <t xml:space="preserve">Полумарафон, март</t>
  </si>
  <si>
    <t xml:space="preserve">Ручной (ежегодно)</t>
  </si>
  <si>
    <t xml:space="preserve">Важен и для рубрики «Практическое» — перекрытия</t>
  </si>
  <si>
    <t xml:space="preserve">S029</t>
  </si>
  <si>
    <t xml:space="preserve">Let's Do This — Cambridgeshire</t>
  </si>
  <si>
    <t xml:space="preserve">Агрегатор / регистрация</t>
  </si>
  <si>
    <t xml:space="preserve">https://www.letsdothis.com</t>
  </si>
  <si>
    <t xml:space="preserve">Забеги, триатлоны, велозаезды</t>
  </si>
  <si>
    <t xml:space="preserve">S030</t>
  </si>
  <si>
    <t xml:space="preserve">Фестивали</t>
  </si>
  <si>
    <t xml:space="preserve">Cambridge Festival (университет)</t>
  </si>
  <si>
    <t xml:space="preserve">Наука, гуманитарные темы, весна</t>
  </si>
  <si>
    <t xml:space="preserve">HTML + talks.cam</t>
  </si>
  <si>
    <t xml:space="preserve">S031</t>
  </si>
  <si>
    <t xml:space="preserve">Cambridge Folk Festival</t>
  </si>
  <si>
    <t xml:space="preserve">Фолк-фестиваль, лето</t>
  </si>
  <si>
    <t xml:space="preserve">S032</t>
  </si>
  <si>
    <t xml:space="preserve">Cambridge Beer Festival</t>
  </si>
  <si>
    <t xml:space="preserve">https://www.cambridgebeerfestival.com</t>
  </si>
  <si>
    <t xml:space="preserve">Пивной фестиваль CAMRA, май</t>
  </si>
  <si>
    <t xml:space="preserve">S033</t>
  </si>
  <si>
    <t xml:space="preserve">Strawberry Fair</t>
  </si>
  <si>
    <t xml:space="preserve">Бесплатный фестиваль на Midsummer Common, июнь</t>
  </si>
  <si>
    <t xml:space="preserve">Ручной + соцсети</t>
  </si>
  <si>
    <t xml:space="preserve">Бывали отмены — мониторить</t>
  </si>
  <si>
    <t xml:space="preserve">S034</t>
  </si>
  <si>
    <t xml:space="preserve">Whittlesea Straw Bear Festival</t>
  </si>
  <si>
    <t xml:space="preserve">Средневековый зимний фестиваль, январь</t>
  </si>
  <si>
    <t xml:space="preserve">Ручной + Peterborough Telegraph</t>
  </si>
  <si>
    <t xml:space="preserve">S035</t>
  </si>
  <si>
    <t xml:space="preserve">Cambridge Film Festival</t>
  </si>
  <si>
    <t xml:space="preserve">Кинофестиваль, осень</t>
  </si>
  <si>
    <t xml:space="preserve">S036</t>
  </si>
  <si>
    <t xml:space="preserve">Cambridge Literary Festival</t>
  </si>
  <si>
    <t xml:space="preserve">Литфестиваль, весна и осень</t>
  </si>
  <si>
    <t xml:space="preserve">S037</t>
  </si>
  <si>
    <t xml:space="preserve">Cambridge Science Festival / семейные программы</t>
  </si>
  <si>
    <t xml:space="preserve">См. Cambridge Festival</t>
  </si>
  <si>
    <t xml:space="preserve">—</t>
  </si>
  <si>
    <t xml:space="preserve">Дубль — проверить, не слит ли с Cambridge Festival</t>
  </si>
  <si>
    <t xml:space="preserve">S038</t>
  </si>
  <si>
    <t xml:space="preserve">Ярмарки</t>
  </si>
  <si>
    <t xml:space="preserve">Mill Road Winter Fair</t>
  </si>
  <si>
    <t xml:space="preserve">https://www.millroadwinterfair.org</t>
  </si>
  <si>
    <t xml:space="preserve">Уличная ярмарка, первая суббота декабря; Mill Road Fringe в течение года</t>
  </si>
  <si>
    <t xml:space="preserve">HTML + соцсети</t>
  </si>
  <si>
    <t xml:space="preserve">Еженедельно в сезон</t>
  </si>
  <si>
    <t xml:space="preserve">Отмены публикуются в соцсетях — нужен контур отмен</t>
  </si>
  <si>
    <t xml:space="preserve">S039</t>
  </si>
  <si>
    <t xml:space="preserve">Рождественские маркеты в центре</t>
  </si>
  <si>
    <t xml:space="preserve">Сезонные рынки</t>
  </si>
  <si>
    <t xml:space="preserve">Ручной + городской совет</t>
  </si>
  <si>
    <t xml:space="preserve">S040</t>
  </si>
  <si>
    <t xml:space="preserve">Деревенские fetes и летние ярмарки</t>
  </si>
  <si>
    <t xml:space="preserve">Village fetes вокруг Кембриджа</t>
  </si>
  <si>
    <t xml:space="preserve">Eventbrite / Visit Cambridge / FB-группы вручную</t>
  </si>
  <si>
    <t xml:space="preserve">Трудно собрать автоматически</t>
  </si>
  <si>
    <t xml:space="preserve">S041</t>
  </si>
  <si>
    <t xml:space="preserve">Театр</t>
  </si>
  <si>
    <t xml:space="preserve">Cambridge Arts Theatre</t>
  </si>
  <si>
    <t xml:space="preserve">Драма, мюзиклы, пантомима</t>
  </si>
  <si>
    <t xml:space="preserve">S042</t>
  </si>
  <si>
    <t xml:space="preserve">ADC Theatre</t>
  </si>
  <si>
    <t xml:space="preserve">Студенческий театр, комедия (Footlights)</t>
  </si>
  <si>
    <t xml:space="preserve">Дёшево и часто — хорош для рубрики «недорого»</t>
  </si>
  <si>
    <t xml:space="preserve">S043</t>
  </si>
  <si>
    <t xml:space="preserve">Mumford Theatre (ARU)</t>
  </si>
  <si>
    <t xml:space="preserve">Любительский и гастрольный театр</t>
  </si>
  <si>
    <t xml:space="preserve">S044</t>
  </si>
  <si>
    <t xml:space="preserve">Постановки в садах колледжей (лето)</t>
  </si>
  <si>
    <t xml:space="preserve">Шекспир под открытым небом</t>
  </si>
  <si>
    <t xml:space="preserve">Ручной</t>
  </si>
  <si>
    <t xml:space="preserve">S045</t>
  </si>
  <si>
    <t xml:space="preserve">Кино</t>
  </si>
  <si>
    <t xml:space="preserve">Arts Picturehouse</t>
  </si>
  <si>
    <t xml:space="preserve">https://www.picturehouses.com</t>
  </si>
  <si>
    <t xml:space="preserve">Арт-кино, спецпоказы, Q&amp;A</t>
  </si>
  <si>
    <t xml:space="preserve">S046</t>
  </si>
  <si>
    <t xml:space="preserve">Кино под открытым небом (летние сезоны)</t>
  </si>
  <si>
    <t xml:space="preserve">Летние показы в парках и колледжах</t>
  </si>
  <si>
    <t xml:space="preserve">S047</t>
  </si>
  <si>
    <t xml:space="preserve">Лекции</t>
  </si>
  <si>
    <t xml:space="preserve">Talks.cam</t>
  </si>
  <si>
    <t xml:space="preserve">Календарь</t>
  </si>
  <si>
    <t xml:space="preserve">https://talks.cam.ac.uk</t>
  </si>
  <si>
    <t xml:space="preserve">Университетские лекции и семинары; есть публичные списки</t>
  </si>
  <si>
    <t xml:space="preserve">iCal / RSS / XML</t>
  </si>
  <si>
    <t xml:space="preserve">Лучший технический источник: готовые фиды с датой, местом и организатором</t>
  </si>
  <si>
    <t xml:space="preserve">S048</t>
  </si>
  <si>
    <t xml:space="preserve">University of Cambridge — What's On</t>
  </si>
  <si>
    <t xml:space="preserve">https://www.admin.cam.ac.uk/whatson/</t>
  </si>
  <si>
    <t xml:space="preserve">Публичные события университета</t>
  </si>
  <si>
    <t xml:space="preserve">HTML + ежемесячная рассылка</t>
  </si>
  <si>
    <t xml:space="preserve">S049</t>
  </si>
  <si>
    <t xml:space="preserve">Cambridge Union</t>
  </si>
  <si>
    <t xml:space="preserve">Дебаты и выступления известных гостей</t>
  </si>
  <si>
    <t xml:space="preserve">Часть событий только для членов</t>
  </si>
  <si>
    <t xml:space="preserve">S050</t>
  </si>
  <si>
    <t xml:space="preserve">Выставки и музеи</t>
  </si>
  <si>
    <t xml:space="preserve">Fitzwilliam Museum</t>
  </si>
  <si>
    <t xml:space="preserve">Выставки, лекции, семейные программы</t>
  </si>
  <si>
    <t xml:space="preserve">S051</t>
  </si>
  <si>
    <t xml:space="preserve">Kettle's Yard</t>
  </si>
  <si>
    <t xml:space="preserve">Современное искусство, концерты, воркшопы</t>
  </si>
  <si>
    <t xml:space="preserve">S052</t>
  </si>
  <si>
    <t xml:space="preserve">University of Cambridge Museums (сводный)</t>
  </si>
  <si>
    <t xml:space="preserve">Все университетские музеи, включая семейные</t>
  </si>
  <si>
    <t xml:space="preserve">S053</t>
  </si>
  <si>
    <t xml:space="preserve">IWM Duxford</t>
  </si>
  <si>
    <t xml:space="preserve">Авиашоу и события</t>
  </si>
  <si>
    <t xml:space="preserve">S054</t>
  </si>
  <si>
    <t xml:space="preserve">Детям и семьям</t>
  </si>
  <si>
    <t xml:space="preserve">Cambridge Science Centre</t>
  </si>
  <si>
    <t xml:space="preserve">Детские научные программы</t>
  </si>
  <si>
    <t xml:space="preserve">S055</t>
  </si>
  <si>
    <t xml:space="preserve">Библиотеки Cambridgeshire</t>
  </si>
  <si>
    <t xml:space="preserve">Детские чтения, каникулярные программы</t>
  </si>
  <si>
    <t xml:space="preserve">Сайт county council</t>
  </si>
  <si>
    <t xml:space="preserve">S056</t>
  </si>
  <si>
    <t xml:space="preserve">Семейные программы музеев</t>
  </si>
  <si>
    <t xml:space="preserve">См. University of Cambridge Museums</t>
  </si>
  <si>
    <t xml:space="preserve">Тегировать «дети» из музейных источников</t>
  </si>
  <si>
    <t xml:space="preserve">S057</t>
  </si>
  <si>
    <t xml:space="preserve">Еда и напитки</t>
  </si>
  <si>
    <t xml:space="preserve">Eat Cambridge</t>
  </si>
  <si>
    <t xml:space="preserve">Фуд-фестиваль и сопутствующие события</t>
  </si>
  <si>
    <t xml:space="preserve">S058</t>
  </si>
  <si>
    <t xml:space="preserve">Открытия ресторанов</t>
  </si>
  <si>
    <t xml:space="preserve">Через Cambridge Independent / Cambridge News</t>
  </si>
  <si>
    <t xml:space="preserve">RSS СМИ</t>
  </si>
  <si>
    <t xml:space="preserve">Сами по себе СМИ ловят не всё — основной источник Cambridge Foodies (S-ниже)</t>
  </si>
  <si>
    <t xml:space="preserve">S059</t>
  </si>
  <si>
    <t xml:space="preserve">Рынки и барахолки</t>
  </si>
  <si>
    <t xml:space="preserve">Cambridge Market (Market Square)</t>
  </si>
  <si>
    <t xml:space="preserve">https://www.cambridge.gov.uk</t>
  </si>
  <si>
    <t xml:space="preserve">Ежедневный рынок, воскресный фермерский</t>
  </si>
  <si>
    <t xml:space="preserve">Ручной (стабильное расписание)</t>
  </si>
  <si>
    <t xml:space="preserve">Ежемесячно</t>
  </si>
  <si>
    <t xml:space="preserve">S060</t>
  </si>
  <si>
    <t xml:space="preserve">All Saints Garden Art &amp; Craft Market</t>
  </si>
  <si>
    <t xml:space="preserve">Рынок местных мастеров</t>
  </si>
  <si>
    <t xml:space="preserve">S061</t>
  </si>
  <si>
    <t xml:space="preserve">Car boot sales в округе</t>
  </si>
  <si>
    <t xml:space="preserve">Воскресные барахолки</t>
  </si>
  <si>
    <t xml:space="preserve">HTML агрегатора (найти)</t>
  </si>
  <si>
    <t xml:space="preserve">S062</t>
  </si>
  <si>
    <t xml:space="preserve">Комедия и стендап</t>
  </si>
  <si>
    <t xml:space="preserve">Комедия на Corn Exchange / Junction / ADC</t>
  </si>
  <si>
    <t xml:space="preserve">См. площадки</t>
  </si>
  <si>
    <t xml:space="preserve">Тегировать «комедия» из этих источников</t>
  </si>
  <si>
    <t xml:space="preserve">S063</t>
  </si>
  <si>
    <t xml:space="preserve">Ночная жизнь</t>
  </si>
  <si>
    <t xml:space="preserve">Resident Advisor / Skiddle — клубные события</t>
  </si>
  <si>
    <t xml:space="preserve">Клубные вечера</t>
  </si>
  <si>
    <t xml:space="preserve">HTML / API Skiddle</t>
  </si>
  <si>
    <t xml:space="preserve">S064</t>
  </si>
  <si>
    <t xml:space="preserve">Квизы в пабах</t>
  </si>
  <si>
    <t xml:space="preserve">Регулярные квизы</t>
  </si>
  <si>
    <t xml:space="preserve">Ручной (стабильные)</t>
  </si>
  <si>
    <t xml:space="preserve">Скорее справочник, чем лента</t>
  </si>
  <si>
    <t xml:space="preserve">S065</t>
  </si>
  <si>
    <t xml:space="preserve">Открытые двери и экскурсии</t>
  </si>
  <si>
    <t xml:space="preserve">Open Cambridge</t>
  </si>
  <si>
    <t xml:space="preserve">Открытые двери, сентябрь</t>
  </si>
  <si>
    <t xml:space="preserve">Часть Heritage Open Days</t>
  </si>
  <si>
    <t xml:space="preserve">S066</t>
  </si>
  <si>
    <t xml:space="preserve">Heritage Open Days</t>
  </si>
  <si>
    <t xml:space="preserve">Национальная программа открытых дверей</t>
  </si>
  <si>
    <t xml:space="preserve">HTML (поиск по региону)</t>
  </si>
  <si>
    <t xml:space="preserve">S067</t>
  </si>
  <si>
    <t xml:space="preserve">National Garden Scheme</t>
  </si>
  <si>
    <t xml:space="preserve">Частные сады, открытые для посещения</t>
  </si>
  <si>
    <t xml:space="preserve">30 мин + час</t>
  </si>
  <si>
    <t xml:space="preserve">S068</t>
  </si>
  <si>
    <t xml:space="preserve">Колледжи — дни открытых дверей и туры</t>
  </si>
  <si>
    <t xml:space="preserve">Посещения колледжей</t>
  </si>
  <si>
    <t xml:space="preserve">S069</t>
  </si>
  <si>
    <t xml:space="preserve">Природа и загородные поездки</t>
  </si>
  <si>
    <t xml:space="preserve">Cambridge University Botanic Garden</t>
  </si>
  <si>
    <t xml:space="preserve">События, сезонные экскурсии</t>
  </si>
  <si>
    <t xml:space="preserve">S070</t>
  </si>
  <si>
    <t xml:space="preserve">National Trust: Wimpole, Anglesey Abbey, Wicken Fen</t>
  </si>
  <si>
    <t xml:space="preserve">https://www.nationaltrust.org.uk</t>
  </si>
  <si>
    <t xml:space="preserve">Сезонные события, фестивали огней, детские программы</t>
  </si>
  <si>
    <t xml:space="preserve">HTML по каждому объекту</t>
  </si>
  <si>
    <t xml:space="preserve">S071</t>
  </si>
  <si>
    <t xml:space="preserve">Ely Cathedral</t>
  </si>
  <si>
    <t xml:space="preserve">Концерты, рынки, сезонные события</t>
  </si>
  <si>
    <t xml:space="preserve">S072</t>
  </si>
  <si>
    <t xml:space="preserve">Праздники и сезонное</t>
  </si>
  <si>
    <t xml:space="preserve">Cambridge City Council — городские события</t>
  </si>
  <si>
    <t xml:space="preserve">Фейерверки на Midsummer Common, рождественские огни, Midsummer Fair</t>
  </si>
  <si>
    <t xml:space="preserve">HTML (новости совета)</t>
  </si>
  <si>
    <t xml:space="preserve">Фейерверки собирают до 20 тыс. человек — обязательно в выпуск</t>
  </si>
  <si>
    <t xml:space="preserve">S073</t>
  </si>
  <si>
    <t xml:space="preserve">Remembrance, Pancake Race и др. традиции</t>
  </si>
  <si>
    <t xml:space="preserve">Сезонные традиции</t>
  </si>
  <si>
    <t xml:space="preserve">Ручной календарь</t>
  </si>
  <si>
    <t xml:space="preserve">Завести статичный годовой календарь</t>
  </si>
  <si>
    <t xml:space="preserve">S074</t>
  </si>
  <si>
    <t xml:space="preserve">Воркшопы и курсы</t>
  </si>
  <si>
    <t xml:space="preserve">Makespace Cambridge</t>
  </si>
  <si>
    <t xml:space="preserve">Мастерская: воркшопы, дни открытых дверей</t>
  </si>
  <si>
    <t xml:space="preserve">S075</t>
  </si>
  <si>
    <t xml:space="preserve">Воркшопы в музеях</t>
  </si>
  <si>
    <t xml:space="preserve">См. музеи</t>
  </si>
  <si>
    <t xml:space="preserve">Тегировать из музейных источников</t>
  </si>
  <si>
    <t xml:space="preserve">S076</t>
  </si>
  <si>
    <t xml:space="preserve">Сообщества и благотворительность</t>
  </si>
  <si>
    <t xml:space="preserve">Love Mill Road / Mill Road Fringe</t>
  </si>
  <si>
    <t xml:space="preserve">https://www.millroadwinterfair.org/mill-road-fringe/</t>
  </si>
  <si>
    <t xml:space="preserve">Районные события Mill Road в течение года</t>
  </si>
  <si>
    <t xml:space="preserve">S077</t>
  </si>
  <si>
    <t xml:space="preserve">Районные FB-группы и Nextdoor</t>
  </si>
  <si>
    <t xml:space="preserve">Соцсети</t>
  </si>
  <si>
    <t xml:space="preserve">Районные события, отмены</t>
  </si>
  <si>
    <t xml:space="preserve">Ручной мониторинг (не парсить — правила платформ)</t>
  </si>
  <si>
    <t xml:space="preserve">Источник подсказок, а не данных</t>
  </si>
  <si>
    <t xml:space="preserve">S078</t>
  </si>
  <si>
    <t xml:space="preserve">Практическое</t>
  </si>
  <si>
    <t xml:space="preserve">Перекрытия дорог (county council / one.network)</t>
  </si>
  <si>
    <t xml:space="preserve">Госорган</t>
  </si>
  <si>
    <t xml:space="preserve">Дорожные работы и перекрытия под события</t>
  </si>
  <si>
    <t xml:space="preserve">HTML / фид (проверить)</t>
  </si>
  <si>
    <t xml:space="preserve">S079</t>
  </si>
  <si>
    <t xml:space="preserve">Greater Anglia / Thameslink / National Rail</t>
  </si>
  <si>
    <t xml:space="preserve">Транспорт</t>
  </si>
  <si>
    <t xml:space="preserve">Инженерные работы, забастовки</t>
  </si>
  <si>
    <t xml:space="preserve">HTML / API National Rail (проверить)</t>
  </si>
  <si>
    <t xml:space="preserve">S080</t>
  </si>
  <si>
    <t xml:space="preserve">Stagecoach East / Park &amp; Ride</t>
  </si>
  <si>
    <t xml:space="preserve">Изменения автобусов в дни событий</t>
  </si>
  <si>
    <t xml:space="preserve">S081</t>
  </si>
  <si>
    <t xml:space="preserve">Thriplow Daffodil Weekend</t>
  </si>
  <si>
    <t xml:space="preserve">https://www.thriplowdaffodils.org.uk</t>
  </si>
  <si>
    <t xml:space="preserve">Нарциссовый фестиваль в деревне Thriplow, март; до 10 тыс. гостей, деревня без машин</t>
  </si>
  <si>
    <t xml:space="preserve">Ручной (ежегодно) + Cambridge 105</t>
  </si>
  <si>
    <t xml:space="preserve">Бывали отмены, если нарциссы не зацвели — мониторить</t>
  </si>
  <si>
    <t xml:space="preserve">S082</t>
  </si>
  <si>
    <t xml:space="preserve">Cambridge Dragon Boat Festival (ACT)</t>
  </si>
  <si>
    <t xml:space="preserve">https://act4addenbrookes.org.uk</t>
  </si>
  <si>
    <t xml:space="preserve">Гонки драконьих лодок на Cam у Fen Ditton, сентябрь; 48 корпоративных команд, семейная программа на берегу</t>
  </si>
  <si>
    <t xml:space="preserve">Благотворительный, в пользу Addenbrooke's</t>
  </si>
  <si>
    <t xml:space="preserve">S083</t>
  </si>
  <si>
    <t xml:space="preserve">«Nihao! China» Cambridge Dragon Boat Festival</t>
  </si>
  <si>
    <t xml:space="preserve">Китайский фестиваль драконьих лодок на Jesus Green и Cam, июнь</t>
  </si>
  <si>
    <t xml:space="preserve">Организатор — Cambridge Chinese Community Centre; сайт найти</t>
  </si>
  <si>
    <t xml:space="preserve">S084</t>
  </si>
  <si>
    <t xml:space="preserve">Cambridgeshire Cats (американский футбол)</t>
  </si>
  <si>
    <t xml:space="preserve">BAFA Premier Division South, домашние игры в Shelford Rugby Club</t>
  </si>
  <si>
    <t xml:space="preserve">HTML / соцсети</t>
  </si>
  <si>
    <t xml:space="preserve">Сезон весна–лето</t>
  </si>
  <si>
    <t xml:space="preserve">S085</t>
  </si>
  <si>
    <t xml:space="preserve">Cambridge Pythons (университетский ам. футбол)</t>
  </si>
  <si>
    <t xml:space="preserve">BUAFL, университетская лига</t>
  </si>
  <si>
    <t xml:space="preserve">S086</t>
  </si>
  <si>
    <t xml:space="preserve">Addenbrooke's Charitable Trust — события</t>
  </si>
  <si>
    <t xml:space="preserve">Благотворительные забеги, лодки, челленджи</t>
  </si>
  <si>
    <t xml:space="preserve">Благотворительные организаторы — отдельный пласт событий</t>
  </si>
  <si>
    <t xml:space="preserve">S087</t>
  </si>
  <si>
    <t xml:space="preserve">The Cambridge Foodies</t>
  </si>
  <si>
    <t xml:space="preserve">Блог / СМИ</t>
  </si>
  <si>
    <t xml:space="preserve">https://cambridgefoodies.me.uk</t>
  </si>
  <si>
    <t xml:space="preserve">Открытия и обзоры ресторанов и кафе, в т.ч. Mill Road, Ely, Royston</t>
  </si>
  <si>
    <t xml:space="preserve">RSS (WordPress — проверить /feed) / HTML</t>
  </si>
  <si>
    <t xml:space="preserve">Поймал Catte Latte, Hungarian Soul, Buren, Urban Larder. Часть постов рекламные (помечены «ad»), часть за платной подпиской</t>
  </si>
  <si>
    <t xml:space="preserve">S088</t>
  </si>
  <si>
    <t xml:space="preserve">parkrun — Cambridge, Wimpole и др.</t>
  </si>
  <si>
    <t xml:space="preserve">https://www.parkrun.org.uk</t>
  </si>
  <si>
    <t xml:space="preserve">Еженедельные бесплатные 5 км по субботам 9:00, junior parkrun по воскресеньям</t>
  </si>
  <si>
    <t xml:space="preserve">Статичный справочник + ручной (спецзабеги: Рождество, Новый год, отмены)</t>
  </si>
  <si>
    <t xml:space="preserve">Сам забег — справочная инфа; в выпуск — спецзабеги и отмены</t>
  </si>
  <si>
    <t xml:space="preserve">S089</t>
  </si>
  <si>
    <t xml:space="preserve">Town and Gown 10k</t>
  </si>
  <si>
    <t xml:space="preserve">10 км, октябрь, старт на Midsummer Common, ~3000 участников</t>
  </si>
  <si>
    <t xml:space="preserve">Нужен и для рубрики «Практическое» — перекрытия</t>
  </si>
  <si>
    <t xml:space="preserve">Всего источников</t>
  </si>
  <si>
    <t xml:space="preserve">Приоритет 1</t>
  </si>
  <si>
    <t xml:space="preserve">Осталось проверить</t>
  </si>
  <si>
    <t xml:space="preserve">Итого</t>
  </si>
  <si>
    <t xml:space="preserve">Поле</t>
  </si>
  <si>
    <t xml:space="preserve">Тип</t>
  </si>
  <si>
    <t xml:space="preserve">Обязательное</t>
  </si>
  <si>
    <t xml:space="preserve">Пример</t>
  </si>
  <si>
    <t xml:space="preserve">Комментарий</t>
  </si>
  <si>
    <t xml:space="preserve">event_id</t>
  </si>
  <si>
    <t xml:space="preserve">текст</t>
  </si>
  <si>
    <t xml:space="preserve">EV-2026-000123</t>
  </si>
  <si>
    <t xml:space="preserve">Внутренний ID</t>
  </si>
  <si>
    <t xml:space="preserve">title</t>
  </si>
  <si>
    <t xml:space="preserve">Cambridge United vs AFC Wimbledon</t>
  </si>
  <si>
    <t xml:space="preserve">category</t>
  </si>
  <si>
    <t xml:space="preserve">список</t>
  </si>
  <si>
    <t xml:space="preserve">Из листа «Категории и теги»</t>
  </si>
  <si>
    <t xml:space="preserve">date_start</t>
  </si>
  <si>
    <t xml:space="preserve">дата</t>
  </si>
  <si>
    <t xml:space="preserve">2026-09-26</t>
  </si>
  <si>
    <t xml:space="preserve">time_start</t>
  </si>
  <si>
    <t xml:space="preserve">время</t>
  </si>
  <si>
    <t xml:space="preserve">да, если известно</t>
  </si>
  <si>
    <t xml:space="preserve">15:00</t>
  </si>
  <si>
    <t xml:space="preserve">Пусто = весь день</t>
  </si>
  <si>
    <t xml:space="preserve">date_end</t>
  </si>
  <si>
    <t xml:space="preserve">нет</t>
  </si>
  <si>
    <t xml:space="preserve">Для многодневных</t>
  </si>
  <si>
    <t xml:space="preserve">time_end</t>
  </si>
  <si>
    <t xml:space="preserve">17:00</t>
  </si>
  <si>
    <t xml:space="preserve">venue_name</t>
  </si>
  <si>
    <t xml:space="preserve">Abbey Stadium</t>
  </si>
  <si>
    <t xml:space="preserve">address</t>
  </si>
  <si>
    <t xml:space="preserve">Newmarket Road, Cambridge</t>
  </si>
  <si>
    <t xml:space="preserve">Точный адрес</t>
  </si>
  <si>
    <t xml:space="preserve">postcode</t>
  </si>
  <si>
    <t xml:space="preserve">(заполнять из источника)</t>
  </si>
  <si>
    <t xml:space="preserve">Для карты и расчёта зоны</t>
  </si>
  <si>
    <t xml:space="preserve">lat / lon</t>
  </si>
  <si>
    <t xml:space="preserve">число</t>
  </si>
  <si>
    <t xml:space="preserve">52.21, 0.15</t>
  </si>
  <si>
    <t xml:space="preserve">Геокодирование по postcode</t>
  </si>
  <si>
    <t xml:space="preserve">zone</t>
  </si>
  <si>
    <t xml:space="preserve">Тег: Центр / до 30 мин / до часа — считается автоматически</t>
  </si>
  <si>
    <t xml:space="preserve">price_from</t>
  </si>
  <si>
    <t xml:space="preserve">число, £</t>
  </si>
  <si>
    <t xml:space="preserve">0</t>
  </si>
  <si>
    <t xml:space="preserve">0 = бесплатно</t>
  </si>
  <si>
    <t xml:space="preserve">price_tag</t>
  </si>
  <si>
    <t xml:space="preserve">бесплатно / до £10 / дороже</t>
  </si>
  <si>
    <t xml:space="preserve">audience</t>
  </si>
  <si>
    <t xml:space="preserve">список (несколько)</t>
  </si>
  <si>
    <t xml:space="preserve">дети 5–12; семьи</t>
  </si>
  <si>
    <t xml:space="preserve">booking</t>
  </si>
  <si>
    <t xml:space="preserve">без билетов / бронировать / продажа скоро</t>
  </si>
  <si>
    <t xml:space="preserve">status</t>
  </si>
  <si>
    <t xml:space="preserve">по плану</t>
  </si>
  <si>
    <t xml:space="preserve">по плану / перенесено / отменено / sold out</t>
  </si>
  <si>
    <t xml:space="preserve">ticket_url</t>
  </si>
  <si>
    <t xml:space="preserve">Здесь партнёрская ссылка, если есть</t>
  </si>
  <si>
    <t xml:space="preserve">source_id</t>
  </si>
  <si>
    <t xml:space="preserve">ссылка</t>
  </si>
  <si>
    <t xml:space="preserve">ID из листа «Источники»</t>
  </si>
  <si>
    <t xml:space="preserve">source_url</t>
  </si>
  <si>
    <t xml:space="preserve">Страница события у первоисточника</t>
  </si>
  <si>
    <t xml:space="preserve">description_short</t>
  </si>
  <si>
    <t xml:space="preserve">2–3 предложения своими словами (не копировать)</t>
  </si>
  <si>
    <t xml:space="preserve">score</t>
  </si>
  <si>
    <t xml:space="preserve">число 1–10</t>
  </si>
  <si>
    <t xml:space="preserve">8</t>
  </si>
  <si>
    <t xml:space="preserve">Оценка LLM «стоит ли внимания»</t>
  </si>
  <si>
    <t xml:space="preserve">last_checked</t>
  </si>
  <si>
    <t xml:space="preserve">дата-время</t>
  </si>
  <si>
    <t xml:space="preserve">Когда контур отмен последний раз проверял</t>
  </si>
  <si>
    <t xml:space="preserve">Ось</t>
  </si>
  <si>
    <t xml:space="preserve">Значение</t>
  </si>
  <si>
    <t xml:space="preserve">Аудитория</t>
  </si>
  <si>
    <t xml:space="preserve">дети до 5</t>
  </si>
  <si>
    <t xml:space="preserve">дети 5–12</t>
  </si>
  <si>
    <t xml:space="preserve">подростки</t>
  </si>
  <si>
    <t xml:space="preserve">семьи</t>
  </si>
  <si>
    <t xml:space="preserve">18+</t>
  </si>
  <si>
    <t xml:space="preserve">Цена</t>
  </si>
  <si>
    <t xml:space="preserve">бесплатно</t>
  </si>
  <si>
    <t xml:space="preserve">до £10</t>
  </si>
  <si>
    <t xml:space="preserve">дороже</t>
  </si>
  <si>
    <t xml:space="preserve">до 30 мин</t>
  </si>
  <si>
    <t xml:space="preserve">до часа</t>
  </si>
  <si>
    <t xml:space="preserve">Бронирование</t>
  </si>
  <si>
    <t xml:space="preserve">без билетов</t>
  </si>
  <si>
    <t xml:space="preserve">нужно бронировать</t>
  </si>
  <si>
    <t xml:space="preserve">продажа открывается скоро</t>
  </si>
  <si>
    <t xml:space="preserve">Статус</t>
  </si>
  <si>
    <t xml:space="preserve">перенесено</t>
  </si>
  <si>
    <t xml:space="preserve">отменено</t>
  </si>
  <si>
    <t xml:space="preserve">sold out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</si>
</sst>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44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50"/>
  </cols>
  <sheetData>
    <row r="1" customFormat="false" ht="39.5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customFormat="false" ht="23.85" hidden="false" customHeight="false" outlineLevel="0" collapsed="false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n">
        <v>1</v>
      </c>
      <c r="K2" s="4" t="s">
        <v>31</v>
      </c>
      <c r="L2" s="4" t="s">
        <v>32</v>
      </c>
    </row>
    <row r="3" customFormat="false" ht="23.85" hidden="false" customHeight="false" outlineLevel="0" collapsed="false">
      <c r="A3" s="4" t="s">
        <v>33</v>
      </c>
      <c r="B3" s="4" t="s">
        <v>23</v>
      </c>
      <c r="C3" s="4" t="s">
        <v>34</v>
      </c>
      <c r="D3" s="4" t="s">
        <v>25</v>
      </c>
      <c r="E3" s="4" t="s">
        <v>35</v>
      </c>
      <c r="F3" s="4" t="s">
        <v>36</v>
      </c>
      <c r="G3" s="4" t="s">
        <v>28</v>
      </c>
      <c r="H3" s="4" t="s">
        <v>37</v>
      </c>
      <c r="I3" s="4" t="s">
        <v>30</v>
      </c>
      <c r="J3" s="4" t="n">
        <v>1</v>
      </c>
      <c r="K3" s="4" t="s">
        <v>31</v>
      </c>
      <c r="L3" s="4" t="s">
        <v>38</v>
      </c>
    </row>
    <row r="4" customFormat="false" ht="15" hidden="false" customHeight="false" outlineLevel="0" collapsed="false">
      <c r="A4" s="4" t="s">
        <v>39</v>
      </c>
      <c r="B4" s="4" t="s">
        <v>23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30</v>
      </c>
      <c r="J4" s="4" t="n">
        <v>1</v>
      </c>
      <c r="K4" s="4" t="s">
        <v>31</v>
      </c>
      <c r="L4" s="4" t="s">
        <v>46</v>
      </c>
    </row>
    <row r="5" customFormat="false" ht="15" hidden="false" customHeight="false" outlineLevel="0" collapsed="false">
      <c r="A5" s="4" t="s">
        <v>47</v>
      </c>
      <c r="B5" s="4" t="s">
        <v>23</v>
      </c>
      <c r="C5" s="4" t="s">
        <v>48</v>
      </c>
      <c r="D5" s="4" t="s">
        <v>41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n">
        <v>1</v>
      </c>
      <c r="K5" s="4" t="s">
        <v>31</v>
      </c>
      <c r="L5" s="4" t="s">
        <v>54</v>
      </c>
    </row>
    <row r="6" customFormat="false" ht="23.85" hidden="false" customHeight="false" outlineLevel="0" collapsed="false">
      <c r="A6" s="4" t="s">
        <v>55</v>
      </c>
      <c r="B6" s="4" t="s">
        <v>23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28</v>
      </c>
      <c r="H6" s="4" t="s">
        <v>37</v>
      </c>
      <c r="I6" s="4" t="s">
        <v>30</v>
      </c>
      <c r="J6" s="4" t="n">
        <v>1</v>
      </c>
      <c r="K6" s="4" t="s">
        <v>31</v>
      </c>
      <c r="L6" s="4" t="s">
        <v>60</v>
      </c>
    </row>
    <row r="7" customFormat="false" ht="15" hidden="false" customHeight="false" outlineLevel="0" collapsed="false">
      <c r="A7" s="4" t="s">
        <v>61</v>
      </c>
      <c r="B7" s="4" t="s">
        <v>23</v>
      </c>
      <c r="C7" s="4" t="s">
        <v>62</v>
      </c>
      <c r="D7" s="4" t="s">
        <v>25</v>
      </c>
      <c r="E7" s="4" t="s">
        <v>63</v>
      </c>
      <c r="F7" s="4" t="s">
        <v>64</v>
      </c>
      <c r="G7" s="4" t="s">
        <v>44</v>
      </c>
      <c r="H7" s="4" t="s">
        <v>37</v>
      </c>
      <c r="I7" s="4" t="s">
        <v>30</v>
      </c>
      <c r="J7" s="4" t="n">
        <v>1</v>
      </c>
      <c r="K7" s="4" t="s">
        <v>31</v>
      </c>
      <c r="L7" s="4" t="s">
        <v>65</v>
      </c>
    </row>
    <row r="8" customFormat="false" ht="15" hidden="false" customHeight="false" outlineLevel="0" collapsed="false">
      <c r="A8" s="4" t="s">
        <v>66</v>
      </c>
      <c r="B8" s="4" t="s">
        <v>23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28</v>
      </c>
      <c r="H8" s="4" t="s">
        <v>71</v>
      </c>
      <c r="I8" s="4" t="s">
        <v>30</v>
      </c>
      <c r="J8" s="4" t="n">
        <v>1</v>
      </c>
      <c r="K8" s="4" t="s">
        <v>31</v>
      </c>
      <c r="L8" s="4" t="s">
        <v>72</v>
      </c>
    </row>
    <row r="9" customFormat="false" ht="23.85" hidden="false" customHeight="false" outlineLevel="0" collapsed="false">
      <c r="A9" s="4" t="s">
        <v>73</v>
      </c>
      <c r="B9" s="4" t="s">
        <v>23</v>
      </c>
      <c r="C9" s="4" t="s">
        <v>74</v>
      </c>
      <c r="D9" s="4" t="s">
        <v>68</v>
      </c>
      <c r="E9" s="4" t="s">
        <v>75</v>
      </c>
      <c r="F9" s="4" t="s">
        <v>76</v>
      </c>
      <c r="G9" s="4" t="s">
        <v>44</v>
      </c>
      <c r="H9" s="4" t="s">
        <v>77</v>
      </c>
      <c r="I9" s="4" t="s">
        <v>30</v>
      </c>
      <c r="J9" s="4" t="n">
        <v>2</v>
      </c>
      <c r="K9" s="5" t="s">
        <v>78</v>
      </c>
      <c r="L9" s="4" t="s">
        <v>79</v>
      </c>
    </row>
    <row r="10" customFormat="false" ht="23.85" hidden="false" customHeight="false" outlineLevel="0" collapsed="false">
      <c r="A10" s="4" t="s">
        <v>80</v>
      </c>
      <c r="B10" s="4" t="s">
        <v>23</v>
      </c>
      <c r="C10" s="4" t="s">
        <v>81</v>
      </c>
      <c r="D10" s="4" t="s">
        <v>25</v>
      </c>
      <c r="E10" s="4" t="s">
        <v>82</v>
      </c>
      <c r="F10" s="4" t="s">
        <v>83</v>
      </c>
      <c r="G10" s="4" t="s">
        <v>28</v>
      </c>
      <c r="H10" s="4" t="s">
        <v>84</v>
      </c>
      <c r="I10" s="4" t="s">
        <v>85</v>
      </c>
      <c r="J10" s="4" t="n">
        <v>3</v>
      </c>
      <c r="K10" s="4" t="s">
        <v>31</v>
      </c>
      <c r="L10" s="4"/>
    </row>
    <row r="11" customFormat="false" ht="15" hidden="false" customHeight="false" outlineLevel="0" collapsed="false">
      <c r="A11" s="4" t="s">
        <v>86</v>
      </c>
      <c r="B11" s="4" t="s">
        <v>23</v>
      </c>
      <c r="C11" s="4" t="s">
        <v>87</v>
      </c>
      <c r="D11" s="4" t="s">
        <v>41</v>
      </c>
      <c r="E11" s="4" t="s">
        <v>88</v>
      </c>
      <c r="F11" s="4" t="s">
        <v>89</v>
      </c>
      <c r="G11" s="4" t="s">
        <v>90</v>
      </c>
      <c r="H11" s="4" t="s">
        <v>52</v>
      </c>
      <c r="I11" s="4" t="s">
        <v>30</v>
      </c>
      <c r="J11" s="4" t="n">
        <v>2</v>
      </c>
      <c r="K11" s="4" t="s">
        <v>31</v>
      </c>
      <c r="L11" s="4" t="s">
        <v>91</v>
      </c>
    </row>
    <row r="12" customFormat="false" ht="23.85" hidden="false" customHeight="false" outlineLevel="0" collapsed="false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28</v>
      </c>
      <c r="H12" s="4" t="s">
        <v>37</v>
      </c>
      <c r="I12" s="4" t="s">
        <v>30</v>
      </c>
      <c r="J12" s="4" t="n">
        <v>1</v>
      </c>
      <c r="K12" s="4" t="s">
        <v>31</v>
      </c>
      <c r="L12" s="4" t="s">
        <v>98</v>
      </c>
    </row>
    <row r="13" customFormat="false" ht="15" hidden="false" customHeight="false" outlineLevel="0" collapsed="false">
      <c r="A13" s="4" t="s">
        <v>99</v>
      </c>
      <c r="B13" s="4" t="s">
        <v>93</v>
      </c>
      <c r="C13" s="4" t="s">
        <v>100</v>
      </c>
      <c r="D13" s="4" t="s">
        <v>95</v>
      </c>
      <c r="E13" s="4" t="s">
        <v>101</v>
      </c>
      <c r="F13" s="4" t="s">
        <v>102</v>
      </c>
      <c r="G13" s="4" t="s">
        <v>28</v>
      </c>
      <c r="H13" s="4" t="s">
        <v>37</v>
      </c>
      <c r="I13" s="4" t="s">
        <v>30</v>
      </c>
      <c r="J13" s="4" t="n">
        <v>1</v>
      </c>
      <c r="K13" s="5" t="s">
        <v>78</v>
      </c>
      <c r="L13" s="4"/>
    </row>
    <row r="14" customFormat="false" ht="15" hidden="false" customHeight="false" outlineLevel="0" collapsed="false">
      <c r="A14" s="4" t="s">
        <v>103</v>
      </c>
      <c r="B14" s="4" t="s">
        <v>93</v>
      </c>
      <c r="C14" s="4" t="s">
        <v>104</v>
      </c>
      <c r="D14" s="4" t="s">
        <v>95</v>
      </c>
      <c r="E14" s="5"/>
      <c r="F14" s="4" t="s">
        <v>105</v>
      </c>
      <c r="G14" s="4" t="s">
        <v>28</v>
      </c>
      <c r="H14" s="4" t="s">
        <v>106</v>
      </c>
      <c r="I14" s="4" t="s">
        <v>85</v>
      </c>
      <c r="J14" s="4" t="n">
        <v>2</v>
      </c>
      <c r="K14" s="5" t="s">
        <v>78</v>
      </c>
      <c r="L14" s="4" t="s">
        <v>107</v>
      </c>
    </row>
    <row r="15" customFormat="false" ht="15" hidden="false" customHeight="false" outlineLevel="0" collapsed="false">
      <c r="A15" s="4" t="s">
        <v>108</v>
      </c>
      <c r="B15" s="4" t="s">
        <v>93</v>
      </c>
      <c r="C15" s="4" t="s">
        <v>109</v>
      </c>
      <c r="D15" s="4" t="s">
        <v>95</v>
      </c>
      <c r="E15" s="5"/>
      <c r="F15" s="4" t="s">
        <v>110</v>
      </c>
      <c r="G15" s="4" t="s">
        <v>28</v>
      </c>
      <c r="H15" s="4" t="s">
        <v>37</v>
      </c>
      <c r="I15" s="4" t="s">
        <v>85</v>
      </c>
      <c r="J15" s="4" t="n">
        <v>2</v>
      </c>
      <c r="K15" s="5" t="s">
        <v>78</v>
      </c>
      <c r="L15" s="4"/>
    </row>
    <row r="16" customFormat="false" ht="15" hidden="false" customHeight="false" outlineLevel="0" collapsed="false">
      <c r="A16" s="4" t="s">
        <v>111</v>
      </c>
      <c r="B16" s="4" t="s">
        <v>93</v>
      </c>
      <c r="C16" s="4" t="s">
        <v>112</v>
      </c>
      <c r="D16" s="4" t="s">
        <v>95</v>
      </c>
      <c r="E16" s="5"/>
      <c r="F16" s="4" t="s">
        <v>113</v>
      </c>
      <c r="G16" s="4" t="s">
        <v>28</v>
      </c>
      <c r="H16" s="4" t="s">
        <v>37</v>
      </c>
      <c r="I16" s="4" t="s">
        <v>85</v>
      </c>
      <c r="J16" s="4" t="n">
        <v>2</v>
      </c>
      <c r="K16" s="5" t="s">
        <v>78</v>
      </c>
      <c r="L16" s="4"/>
    </row>
    <row r="17" customFormat="false" ht="23.85" hidden="false" customHeight="false" outlineLevel="0" collapsed="false">
      <c r="A17" s="4" t="s">
        <v>114</v>
      </c>
      <c r="B17" s="4" t="s">
        <v>93</v>
      </c>
      <c r="C17" s="4" t="s">
        <v>115</v>
      </c>
      <c r="D17" s="4" t="s">
        <v>95</v>
      </c>
      <c r="E17" s="5"/>
      <c r="F17" s="4" t="s">
        <v>116</v>
      </c>
      <c r="G17" s="4" t="s">
        <v>28</v>
      </c>
      <c r="H17" s="4" t="s">
        <v>117</v>
      </c>
      <c r="I17" s="4" t="s">
        <v>85</v>
      </c>
      <c r="J17" s="4" t="n">
        <v>3</v>
      </c>
      <c r="K17" s="5" t="s">
        <v>78</v>
      </c>
      <c r="L17" s="4" t="s">
        <v>118</v>
      </c>
    </row>
    <row r="18" customFormat="false" ht="15" hidden="false" customHeight="false" outlineLevel="0" collapsed="false">
      <c r="A18" s="4" t="s">
        <v>119</v>
      </c>
      <c r="B18" s="4" t="s">
        <v>93</v>
      </c>
      <c r="C18" s="4" t="s">
        <v>120</v>
      </c>
      <c r="D18" s="4" t="s">
        <v>95</v>
      </c>
      <c r="E18" s="5"/>
      <c r="F18" s="4" t="s">
        <v>121</v>
      </c>
      <c r="G18" s="4" t="s">
        <v>90</v>
      </c>
      <c r="H18" s="4" t="s">
        <v>37</v>
      </c>
      <c r="I18" s="4" t="s">
        <v>85</v>
      </c>
      <c r="J18" s="4" t="n">
        <v>2</v>
      </c>
      <c r="K18" s="5" t="s">
        <v>78</v>
      </c>
      <c r="L18" s="4" t="s">
        <v>122</v>
      </c>
    </row>
    <row r="19" customFormat="false" ht="23.85" hidden="false" customHeight="false" outlineLevel="0" collapsed="false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4" t="s">
        <v>28</v>
      </c>
      <c r="H19" s="4" t="s">
        <v>129</v>
      </c>
      <c r="I19" s="4" t="s">
        <v>85</v>
      </c>
      <c r="J19" s="4" t="n">
        <v>1</v>
      </c>
      <c r="K19" s="4" t="s">
        <v>31</v>
      </c>
      <c r="L19" s="4" t="s">
        <v>130</v>
      </c>
    </row>
    <row r="20" customFormat="false" ht="15" hidden="false" customHeight="false" outlineLevel="0" collapsed="false">
      <c r="A20" s="4" t="s">
        <v>131</v>
      </c>
      <c r="B20" s="4" t="s">
        <v>124</v>
      </c>
      <c r="C20" s="4" t="s">
        <v>132</v>
      </c>
      <c r="D20" s="4" t="s">
        <v>126</v>
      </c>
      <c r="E20" s="5"/>
      <c r="F20" s="4" t="s">
        <v>133</v>
      </c>
      <c r="G20" s="4" t="s">
        <v>134</v>
      </c>
      <c r="H20" s="4" t="s">
        <v>37</v>
      </c>
      <c r="I20" s="4" t="s">
        <v>85</v>
      </c>
      <c r="J20" s="4" t="n">
        <v>3</v>
      </c>
      <c r="K20" s="5" t="s">
        <v>78</v>
      </c>
      <c r="L20" s="4"/>
    </row>
    <row r="21" customFormat="false" ht="15" hidden="false" customHeight="false" outlineLevel="0" collapsed="false">
      <c r="A21" s="4" t="s">
        <v>135</v>
      </c>
      <c r="B21" s="4" t="s">
        <v>124</v>
      </c>
      <c r="C21" s="4" t="s">
        <v>136</v>
      </c>
      <c r="D21" s="4" t="s">
        <v>126</v>
      </c>
      <c r="E21" s="5"/>
      <c r="F21" s="4" t="s">
        <v>137</v>
      </c>
      <c r="G21" s="4" t="s">
        <v>28</v>
      </c>
      <c r="H21" s="4" t="s">
        <v>37</v>
      </c>
      <c r="I21" s="4" t="s">
        <v>85</v>
      </c>
      <c r="J21" s="4" t="n">
        <v>2</v>
      </c>
      <c r="K21" s="5" t="s">
        <v>78</v>
      </c>
      <c r="L21" s="4"/>
    </row>
    <row r="22" customFormat="false" ht="15" hidden="false" customHeight="false" outlineLevel="0" collapsed="false">
      <c r="A22" s="4" t="s">
        <v>138</v>
      </c>
      <c r="B22" s="4" t="s">
        <v>124</v>
      </c>
      <c r="C22" s="4" t="s">
        <v>139</v>
      </c>
      <c r="D22" s="4" t="s">
        <v>95</v>
      </c>
      <c r="E22" s="5"/>
      <c r="F22" s="4" t="s">
        <v>140</v>
      </c>
      <c r="G22" s="4" t="s">
        <v>134</v>
      </c>
      <c r="H22" s="4" t="s">
        <v>37</v>
      </c>
      <c r="I22" s="4" t="s">
        <v>85</v>
      </c>
      <c r="J22" s="4" t="n">
        <v>1</v>
      </c>
      <c r="K22" s="5" t="s">
        <v>78</v>
      </c>
      <c r="L22" s="4" t="s">
        <v>141</v>
      </c>
    </row>
    <row r="23" customFormat="false" ht="15" hidden="false" customHeight="false" outlineLevel="0" collapsed="false">
      <c r="A23" s="4" t="s">
        <v>142</v>
      </c>
      <c r="B23" s="4" t="s">
        <v>124</v>
      </c>
      <c r="C23" s="4" t="s">
        <v>143</v>
      </c>
      <c r="D23" s="4" t="s">
        <v>95</v>
      </c>
      <c r="E23" s="5"/>
      <c r="F23" s="4" t="s">
        <v>144</v>
      </c>
      <c r="G23" s="4" t="s">
        <v>134</v>
      </c>
      <c r="H23" s="4" t="s">
        <v>37</v>
      </c>
      <c r="I23" s="4" t="s">
        <v>85</v>
      </c>
      <c r="J23" s="4" t="n">
        <v>3</v>
      </c>
      <c r="K23" s="5" t="s">
        <v>78</v>
      </c>
      <c r="L23" s="4" t="s">
        <v>141</v>
      </c>
    </row>
    <row r="24" customFormat="false" ht="23.85" hidden="false" customHeight="false" outlineLevel="0" collapsed="false">
      <c r="A24" s="4" t="s">
        <v>145</v>
      </c>
      <c r="B24" s="4" t="s">
        <v>124</v>
      </c>
      <c r="C24" s="4" t="s">
        <v>146</v>
      </c>
      <c r="D24" s="4" t="s">
        <v>147</v>
      </c>
      <c r="E24" s="5"/>
      <c r="F24" s="4" t="s">
        <v>148</v>
      </c>
      <c r="G24" s="4" t="s">
        <v>28</v>
      </c>
      <c r="H24" s="4" t="s">
        <v>37</v>
      </c>
      <c r="I24" s="4" t="s">
        <v>149</v>
      </c>
      <c r="J24" s="4" t="n">
        <v>2</v>
      </c>
      <c r="K24" s="5" t="s">
        <v>78</v>
      </c>
      <c r="L24" s="4"/>
    </row>
    <row r="25" customFormat="false" ht="23.85" hidden="false" customHeight="false" outlineLevel="0" collapsed="false">
      <c r="A25" s="4" t="s">
        <v>150</v>
      </c>
      <c r="B25" s="4" t="s">
        <v>124</v>
      </c>
      <c r="C25" s="4" t="s">
        <v>151</v>
      </c>
      <c r="D25" s="4" t="s">
        <v>147</v>
      </c>
      <c r="E25" s="5"/>
      <c r="F25" s="4" t="s">
        <v>152</v>
      </c>
      <c r="G25" s="4" t="s">
        <v>28</v>
      </c>
      <c r="H25" s="4" t="s">
        <v>37</v>
      </c>
      <c r="I25" s="4" t="s">
        <v>149</v>
      </c>
      <c r="J25" s="4" t="n">
        <v>3</v>
      </c>
      <c r="K25" s="5" t="s">
        <v>78</v>
      </c>
      <c r="L25" s="4"/>
    </row>
    <row r="26" customFormat="false" ht="15" hidden="false" customHeight="false" outlineLevel="0" collapsed="false">
      <c r="A26" s="4" t="s">
        <v>153</v>
      </c>
      <c r="B26" s="4" t="s">
        <v>124</v>
      </c>
      <c r="C26" s="4" t="s">
        <v>154</v>
      </c>
      <c r="D26" s="4" t="s">
        <v>147</v>
      </c>
      <c r="E26" s="5"/>
      <c r="F26" s="4" t="s">
        <v>155</v>
      </c>
      <c r="G26" s="4" t="s">
        <v>156</v>
      </c>
      <c r="H26" s="4" t="s">
        <v>157</v>
      </c>
      <c r="I26" s="4" t="s">
        <v>158</v>
      </c>
      <c r="J26" s="4" t="n">
        <v>3</v>
      </c>
      <c r="K26" s="5" t="s">
        <v>78</v>
      </c>
      <c r="L26" s="4"/>
    </row>
    <row r="27" customFormat="false" ht="15" hidden="false" customHeight="false" outlineLevel="0" collapsed="false">
      <c r="A27" s="4" t="s">
        <v>159</v>
      </c>
      <c r="B27" s="4" t="s">
        <v>160</v>
      </c>
      <c r="C27" s="4" t="s">
        <v>161</v>
      </c>
      <c r="D27" s="4" t="s">
        <v>147</v>
      </c>
      <c r="E27" s="4" t="s">
        <v>162</v>
      </c>
      <c r="F27" s="4" t="s">
        <v>163</v>
      </c>
      <c r="G27" s="4" t="s">
        <v>28</v>
      </c>
      <c r="H27" s="4" t="s">
        <v>164</v>
      </c>
      <c r="I27" s="4" t="s">
        <v>158</v>
      </c>
      <c r="J27" s="4" t="n">
        <v>1</v>
      </c>
      <c r="K27" s="4" t="s">
        <v>31</v>
      </c>
      <c r="L27" s="4" t="s">
        <v>165</v>
      </c>
    </row>
    <row r="28" customFormat="false" ht="23.85" hidden="false" customHeight="false" outlineLevel="0" collapsed="false">
      <c r="A28" s="4" t="s">
        <v>166</v>
      </c>
      <c r="B28" s="4" t="s">
        <v>160</v>
      </c>
      <c r="C28" s="4" t="s">
        <v>167</v>
      </c>
      <c r="D28" s="4" t="s">
        <v>168</v>
      </c>
      <c r="E28" s="4" t="s">
        <v>169</v>
      </c>
      <c r="F28" s="4" t="s">
        <v>170</v>
      </c>
      <c r="G28" s="4" t="s">
        <v>44</v>
      </c>
      <c r="H28" s="4" t="s">
        <v>37</v>
      </c>
      <c r="I28" s="4" t="s">
        <v>85</v>
      </c>
      <c r="J28" s="4" t="n">
        <v>2</v>
      </c>
      <c r="K28" s="4" t="s">
        <v>31</v>
      </c>
      <c r="L28" s="4"/>
    </row>
    <row r="29" customFormat="false" ht="15" hidden="false" customHeight="false" outlineLevel="0" collapsed="false">
      <c r="A29" s="4" t="s">
        <v>171</v>
      </c>
      <c r="B29" s="4" t="s">
        <v>160</v>
      </c>
      <c r="C29" s="4" t="s">
        <v>172</v>
      </c>
      <c r="D29" s="4" t="s">
        <v>147</v>
      </c>
      <c r="E29" s="5"/>
      <c r="F29" s="4" t="s">
        <v>173</v>
      </c>
      <c r="G29" s="4" t="s">
        <v>28</v>
      </c>
      <c r="H29" s="4" t="s">
        <v>174</v>
      </c>
      <c r="I29" s="4" t="s">
        <v>158</v>
      </c>
      <c r="J29" s="4" t="n">
        <v>1</v>
      </c>
      <c r="K29" s="5" t="s">
        <v>78</v>
      </c>
      <c r="L29" s="4" t="s">
        <v>175</v>
      </c>
    </row>
    <row r="30" customFormat="false" ht="23.85" hidden="false" customHeight="false" outlineLevel="0" collapsed="false">
      <c r="A30" s="4" t="s">
        <v>176</v>
      </c>
      <c r="B30" s="4" t="s">
        <v>160</v>
      </c>
      <c r="C30" s="4" t="s">
        <v>177</v>
      </c>
      <c r="D30" s="4" t="s">
        <v>178</v>
      </c>
      <c r="E30" s="4" t="s">
        <v>179</v>
      </c>
      <c r="F30" s="4" t="s">
        <v>180</v>
      </c>
      <c r="G30" s="4" t="s">
        <v>90</v>
      </c>
      <c r="H30" s="4" t="s">
        <v>37</v>
      </c>
      <c r="I30" s="4" t="s">
        <v>85</v>
      </c>
      <c r="J30" s="4" t="n">
        <v>2</v>
      </c>
      <c r="K30" s="4" t="s">
        <v>31</v>
      </c>
      <c r="L30" s="4"/>
    </row>
    <row r="31" customFormat="false" ht="15" hidden="false" customHeight="false" outlineLevel="0" collapsed="false">
      <c r="A31" s="4" t="s">
        <v>181</v>
      </c>
      <c r="B31" s="4" t="s">
        <v>182</v>
      </c>
      <c r="C31" s="4" t="s">
        <v>183</v>
      </c>
      <c r="D31" s="4" t="s">
        <v>147</v>
      </c>
      <c r="E31" s="5"/>
      <c r="F31" s="4" t="s">
        <v>184</v>
      </c>
      <c r="G31" s="4" t="s">
        <v>28</v>
      </c>
      <c r="H31" s="4" t="s">
        <v>185</v>
      </c>
      <c r="I31" s="4" t="s">
        <v>149</v>
      </c>
      <c r="J31" s="4" t="n">
        <v>1</v>
      </c>
      <c r="K31" s="5" t="s">
        <v>78</v>
      </c>
      <c r="L31" s="4"/>
    </row>
    <row r="32" customFormat="false" ht="15" hidden="false" customHeight="false" outlineLevel="0" collapsed="false">
      <c r="A32" s="4" t="s">
        <v>186</v>
      </c>
      <c r="B32" s="4" t="s">
        <v>182</v>
      </c>
      <c r="C32" s="4" t="s">
        <v>187</v>
      </c>
      <c r="D32" s="4" t="s">
        <v>147</v>
      </c>
      <c r="E32" s="5"/>
      <c r="F32" s="4" t="s">
        <v>188</v>
      </c>
      <c r="G32" s="4" t="s">
        <v>28</v>
      </c>
      <c r="H32" s="4" t="s">
        <v>174</v>
      </c>
      <c r="I32" s="4" t="s">
        <v>158</v>
      </c>
      <c r="J32" s="4" t="n">
        <v>1</v>
      </c>
      <c r="K32" s="5" t="s">
        <v>78</v>
      </c>
      <c r="L32" s="4"/>
    </row>
    <row r="33" customFormat="false" ht="15" hidden="false" customHeight="false" outlineLevel="0" collapsed="false">
      <c r="A33" s="4" t="s">
        <v>189</v>
      </c>
      <c r="B33" s="4" t="s">
        <v>182</v>
      </c>
      <c r="C33" s="4" t="s">
        <v>190</v>
      </c>
      <c r="D33" s="4" t="s">
        <v>147</v>
      </c>
      <c r="E33" s="4" t="s">
        <v>191</v>
      </c>
      <c r="F33" s="4" t="s">
        <v>192</v>
      </c>
      <c r="G33" s="4" t="s">
        <v>28</v>
      </c>
      <c r="H33" s="4" t="s">
        <v>174</v>
      </c>
      <c r="I33" s="4" t="s">
        <v>158</v>
      </c>
      <c r="J33" s="4" t="n">
        <v>1</v>
      </c>
      <c r="K33" s="4" t="s">
        <v>31</v>
      </c>
      <c r="L33" s="4"/>
    </row>
    <row r="34" customFormat="false" ht="23.85" hidden="false" customHeight="false" outlineLevel="0" collapsed="false">
      <c r="A34" s="4" t="s">
        <v>193</v>
      </c>
      <c r="B34" s="4" t="s">
        <v>182</v>
      </c>
      <c r="C34" s="4" t="s">
        <v>194</v>
      </c>
      <c r="D34" s="4" t="s">
        <v>147</v>
      </c>
      <c r="E34" s="5"/>
      <c r="F34" s="4" t="s">
        <v>195</v>
      </c>
      <c r="G34" s="4" t="s">
        <v>28</v>
      </c>
      <c r="H34" s="4" t="s">
        <v>196</v>
      </c>
      <c r="I34" s="4" t="s">
        <v>158</v>
      </c>
      <c r="J34" s="4" t="n">
        <v>1</v>
      </c>
      <c r="K34" s="5" t="s">
        <v>78</v>
      </c>
      <c r="L34" s="4" t="s">
        <v>197</v>
      </c>
    </row>
    <row r="35" customFormat="false" ht="15" hidden="false" customHeight="false" outlineLevel="0" collapsed="false">
      <c r="A35" s="4" t="s">
        <v>198</v>
      </c>
      <c r="B35" s="4" t="s">
        <v>182</v>
      </c>
      <c r="C35" s="4" t="s">
        <v>199</v>
      </c>
      <c r="D35" s="4" t="s">
        <v>147</v>
      </c>
      <c r="E35" s="5"/>
      <c r="F35" s="4" t="s">
        <v>200</v>
      </c>
      <c r="G35" s="4" t="s">
        <v>90</v>
      </c>
      <c r="H35" s="4" t="s">
        <v>201</v>
      </c>
      <c r="I35" s="4" t="s">
        <v>158</v>
      </c>
      <c r="J35" s="4" t="n">
        <v>2</v>
      </c>
      <c r="K35" s="5" t="s">
        <v>78</v>
      </c>
      <c r="L35" s="4"/>
    </row>
    <row r="36" customFormat="false" ht="15" hidden="false" customHeight="false" outlineLevel="0" collapsed="false">
      <c r="A36" s="4" t="s">
        <v>202</v>
      </c>
      <c r="B36" s="4" t="s">
        <v>182</v>
      </c>
      <c r="C36" s="4" t="s">
        <v>203</v>
      </c>
      <c r="D36" s="4" t="s">
        <v>147</v>
      </c>
      <c r="E36" s="5"/>
      <c r="F36" s="4" t="s">
        <v>204</v>
      </c>
      <c r="G36" s="4" t="s">
        <v>28</v>
      </c>
      <c r="H36" s="4" t="s">
        <v>174</v>
      </c>
      <c r="I36" s="4" t="s">
        <v>158</v>
      </c>
      <c r="J36" s="4" t="n">
        <v>2</v>
      </c>
      <c r="K36" s="5" t="s">
        <v>78</v>
      </c>
      <c r="L36" s="4"/>
    </row>
    <row r="37" customFormat="false" ht="15" hidden="false" customHeight="false" outlineLevel="0" collapsed="false">
      <c r="A37" s="4" t="s">
        <v>205</v>
      </c>
      <c r="B37" s="4" t="s">
        <v>182</v>
      </c>
      <c r="C37" s="4" t="s">
        <v>206</v>
      </c>
      <c r="D37" s="4" t="s">
        <v>147</v>
      </c>
      <c r="E37" s="5"/>
      <c r="F37" s="4" t="s">
        <v>207</v>
      </c>
      <c r="G37" s="4" t="s">
        <v>28</v>
      </c>
      <c r="H37" s="4" t="s">
        <v>37</v>
      </c>
      <c r="I37" s="4" t="s">
        <v>149</v>
      </c>
      <c r="J37" s="4" t="n">
        <v>2</v>
      </c>
      <c r="K37" s="5" t="s">
        <v>78</v>
      </c>
      <c r="L37" s="4"/>
    </row>
    <row r="38" customFormat="false" ht="23.85" hidden="false" customHeight="false" outlineLevel="0" collapsed="false">
      <c r="A38" s="4" t="s">
        <v>208</v>
      </c>
      <c r="B38" s="4" t="s">
        <v>182</v>
      </c>
      <c r="C38" s="4" t="s">
        <v>209</v>
      </c>
      <c r="D38" s="4" t="s">
        <v>147</v>
      </c>
      <c r="E38" s="5"/>
      <c r="F38" s="4" t="s">
        <v>210</v>
      </c>
      <c r="G38" s="4" t="s">
        <v>28</v>
      </c>
      <c r="H38" s="4" t="s">
        <v>211</v>
      </c>
      <c r="I38" s="4" t="s">
        <v>211</v>
      </c>
      <c r="J38" s="4" t="n">
        <v>3</v>
      </c>
      <c r="K38" s="5" t="s">
        <v>78</v>
      </c>
      <c r="L38" s="4" t="s">
        <v>212</v>
      </c>
    </row>
    <row r="39" customFormat="false" ht="23.85" hidden="false" customHeight="false" outlineLevel="0" collapsed="false">
      <c r="A39" s="4" t="s">
        <v>213</v>
      </c>
      <c r="B39" s="4" t="s">
        <v>214</v>
      </c>
      <c r="C39" s="4" t="s">
        <v>215</v>
      </c>
      <c r="D39" s="4" t="s">
        <v>147</v>
      </c>
      <c r="E39" s="4" t="s">
        <v>216</v>
      </c>
      <c r="F39" s="4" t="s">
        <v>217</v>
      </c>
      <c r="G39" s="4" t="s">
        <v>28</v>
      </c>
      <c r="H39" s="4" t="s">
        <v>218</v>
      </c>
      <c r="I39" s="4" t="s">
        <v>219</v>
      </c>
      <c r="J39" s="4" t="n">
        <v>1</v>
      </c>
      <c r="K39" s="4" t="s">
        <v>31</v>
      </c>
      <c r="L39" s="4" t="s">
        <v>220</v>
      </c>
    </row>
    <row r="40" customFormat="false" ht="15" hidden="false" customHeight="false" outlineLevel="0" collapsed="false">
      <c r="A40" s="4" t="s">
        <v>221</v>
      </c>
      <c r="B40" s="4" t="s">
        <v>214</v>
      </c>
      <c r="C40" s="4" t="s">
        <v>222</v>
      </c>
      <c r="D40" s="4" t="s">
        <v>147</v>
      </c>
      <c r="E40" s="5"/>
      <c r="F40" s="4" t="s">
        <v>223</v>
      </c>
      <c r="G40" s="4" t="s">
        <v>28</v>
      </c>
      <c r="H40" s="4" t="s">
        <v>224</v>
      </c>
      <c r="I40" s="4" t="s">
        <v>149</v>
      </c>
      <c r="J40" s="4" t="n">
        <v>1</v>
      </c>
      <c r="K40" s="5" t="s">
        <v>78</v>
      </c>
      <c r="L40" s="4"/>
    </row>
    <row r="41" customFormat="false" ht="23.85" hidden="false" customHeight="false" outlineLevel="0" collapsed="false">
      <c r="A41" s="4" t="s">
        <v>225</v>
      </c>
      <c r="B41" s="4" t="s">
        <v>214</v>
      </c>
      <c r="C41" s="4" t="s">
        <v>226</v>
      </c>
      <c r="D41" s="4" t="s">
        <v>147</v>
      </c>
      <c r="E41" s="5"/>
      <c r="F41" s="4" t="s">
        <v>227</v>
      </c>
      <c r="G41" s="4" t="s">
        <v>134</v>
      </c>
      <c r="H41" s="4" t="s">
        <v>228</v>
      </c>
      <c r="I41" s="4" t="s">
        <v>149</v>
      </c>
      <c r="J41" s="4" t="n">
        <v>3</v>
      </c>
      <c r="K41" s="5" t="s">
        <v>78</v>
      </c>
      <c r="L41" s="4" t="s">
        <v>229</v>
      </c>
    </row>
    <row r="42" customFormat="false" ht="15" hidden="false" customHeight="false" outlineLevel="0" collapsed="false">
      <c r="A42" s="4" t="s">
        <v>230</v>
      </c>
      <c r="B42" s="4" t="s">
        <v>231</v>
      </c>
      <c r="C42" s="4" t="s">
        <v>232</v>
      </c>
      <c r="D42" s="4" t="s">
        <v>95</v>
      </c>
      <c r="E42" s="5"/>
      <c r="F42" s="4" t="s">
        <v>233</v>
      </c>
      <c r="G42" s="4" t="s">
        <v>28</v>
      </c>
      <c r="H42" s="4" t="s">
        <v>37</v>
      </c>
      <c r="I42" s="4" t="s">
        <v>30</v>
      </c>
      <c r="J42" s="4" t="n">
        <v>1</v>
      </c>
      <c r="K42" s="5" t="s">
        <v>78</v>
      </c>
      <c r="L42" s="4"/>
    </row>
    <row r="43" customFormat="false" ht="15" hidden="false" customHeight="false" outlineLevel="0" collapsed="false">
      <c r="A43" s="4" t="s">
        <v>234</v>
      </c>
      <c r="B43" s="4" t="s">
        <v>231</v>
      </c>
      <c r="C43" s="4" t="s">
        <v>235</v>
      </c>
      <c r="D43" s="4" t="s">
        <v>95</v>
      </c>
      <c r="E43" s="5"/>
      <c r="F43" s="4" t="s">
        <v>236</v>
      </c>
      <c r="G43" s="4" t="s">
        <v>28</v>
      </c>
      <c r="H43" s="4" t="s">
        <v>37</v>
      </c>
      <c r="I43" s="4" t="s">
        <v>85</v>
      </c>
      <c r="J43" s="4" t="n">
        <v>1</v>
      </c>
      <c r="K43" s="5" t="s">
        <v>78</v>
      </c>
      <c r="L43" s="4" t="s">
        <v>237</v>
      </c>
    </row>
    <row r="44" customFormat="false" ht="15" hidden="false" customHeight="false" outlineLevel="0" collapsed="false">
      <c r="A44" s="4" t="s">
        <v>238</v>
      </c>
      <c r="B44" s="4" t="s">
        <v>231</v>
      </c>
      <c r="C44" s="4" t="s">
        <v>239</v>
      </c>
      <c r="D44" s="4" t="s">
        <v>95</v>
      </c>
      <c r="E44" s="5"/>
      <c r="F44" s="4" t="s">
        <v>240</v>
      </c>
      <c r="G44" s="4" t="s">
        <v>28</v>
      </c>
      <c r="H44" s="4" t="s">
        <v>37</v>
      </c>
      <c r="I44" s="4" t="s">
        <v>85</v>
      </c>
      <c r="J44" s="4" t="n">
        <v>3</v>
      </c>
      <c r="K44" s="5" t="s">
        <v>78</v>
      </c>
      <c r="L44" s="4"/>
    </row>
    <row r="45" customFormat="false" ht="15" hidden="false" customHeight="false" outlineLevel="0" collapsed="false">
      <c r="A45" s="4" t="s">
        <v>241</v>
      </c>
      <c r="B45" s="4" t="s">
        <v>231</v>
      </c>
      <c r="C45" s="4" t="s">
        <v>242</v>
      </c>
      <c r="D45" s="4" t="s">
        <v>147</v>
      </c>
      <c r="E45" s="5"/>
      <c r="F45" s="4" t="s">
        <v>243</v>
      </c>
      <c r="G45" s="4" t="s">
        <v>28</v>
      </c>
      <c r="H45" s="4" t="s">
        <v>244</v>
      </c>
      <c r="I45" s="4" t="s">
        <v>149</v>
      </c>
      <c r="J45" s="4" t="n">
        <v>2</v>
      </c>
      <c r="K45" s="5" t="s">
        <v>78</v>
      </c>
      <c r="L45" s="4"/>
    </row>
    <row r="46" customFormat="false" ht="15" hidden="false" customHeight="false" outlineLevel="0" collapsed="false">
      <c r="A46" s="4" t="s">
        <v>245</v>
      </c>
      <c r="B46" s="4" t="s">
        <v>246</v>
      </c>
      <c r="C46" s="4" t="s">
        <v>247</v>
      </c>
      <c r="D46" s="4" t="s">
        <v>95</v>
      </c>
      <c r="E46" s="4" t="s">
        <v>248</v>
      </c>
      <c r="F46" s="4" t="s">
        <v>249</v>
      </c>
      <c r="G46" s="4" t="s">
        <v>28</v>
      </c>
      <c r="H46" s="4" t="s">
        <v>37</v>
      </c>
      <c r="I46" s="4" t="s">
        <v>85</v>
      </c>
      <c r="J46" s="4" t="n">
        <v>1</v>
      </c>
      <c r="K46" s="5" t="s">
        <v>78</v>
      </c>
      <c r="L46" s="4"/>
    </row>
    <row r="47" customFormat="false" ht="15" hidden="false" customHeight="false" outlineLevel="0" collapsed="false">
      <c r="A47" s="4" t="s">
        <v>250</v>
      </c>
      <c r="B47" s="4" t="s">
        <v>246</v>
      </c>
      <c r="C47" s="4" t="s">
        <v>251</v>
      </c>
      <c r="D47" s="4" t="s">
        <v>147</v>
      </c>
      <c r="E47" s="5"/>
      <c r="F47" s="4" t="s">
        <v>252</v>
      </c>
      <c r="G47" s="4" t="s">
        <v>28</v>
      </c>
      <c r="H47" s="4" t="s">
        <v>244</v>
      </c>
      <c r="I47" s="4" t="s">
        <v>149</v>
      </c>
      <c r="J47" s="4" t="n">
        <v>2</v>
      </c>
      <c r="K47" s="5" t="s">
        <v>78</v>
      </c>
      <c r="L47" s="4"/>
    </row>
    <row r="48" customFormat="false" ht="23.85" hidden="false" customHeight="false" outlineLevel="0" collapsed="false">
      <c r="A48" s="4" t="s">
        <v>253</v>
      </c>
      <c r="B48" s="4" t="s">
        <v>254</v>
      </c>
      <c r="C48" s="4" t="s">
        <v>255</v>
      </c>
      <c r="D48" s="4" t="s">
        <v>256</v>
      </c>
      <c r="E48" s="4" t="s">
        <v>257</v>
      </c>
      <c r="F48" s="4" t="s">
        <v>258</v>
      </c>
      <c r="G48" s="4" t="s">
        <v>28</v>
      </c>
      <c r="H48" s="4" t="s">
        <v>259</v>
      </c>
      <c r="I48" s="4" t="s">
        <v>30</v>
      </c>
      <c r="J48" s="4" t="n">
        <v>1</v>
      </c>
      <c r="K48" s="4" t="s">
        <v>31</v>
      </c>
      <c r="L48" s="4" t="s">
        <v>260</v>
      </c>
    </row>
    <row r="49" customFormat="false" ht="15" hidden="false" customHeight="false" outlineLevel="0" collapsed="false">
      <c r="A49" s="4" t="s">
        <v>261</v>
      </c>
      <c r="B49" s="4" t="s">
        <v>254</v>
      </c>
      <c r="C49" s="4" t="s">
        <v>262</v>
      </c>
      <c r="D49" s="4" t="s">
        <v>256</v>
      </c>
      <c r="E49" s="4" t="s">
        <v>263</v>
      </c>
      <c r="F49" s="4" t="s">
        <v>264</v>
      </c>
      <c r="G49" s="4" t="s">
        <v>28</v>
      </c>
      <c r="H49" s="4" t="s">
        <v>265</v>
      </c>
      <c r="I49" s="4" t="s">
        <v>85</v>
      </c>
      <c r="J49" s="4" t="n">
        <v>1</v>
      </c>
      <c r="K49" s="4" t="s">
        <v>31</v>
      </c>
      <c r="L49" s="4"/>
    </row>
    <row r="50" customFormat="false" ht="15" hidden="false" customHeight="false" outlineLevel="0" collapsed="false">
      <c r="A50" s="4" t="s">
        <v>266</v>
      </c>
      <c r="B50" s="4" t="s">
        <v>254</v>
      </c>
      <c r="C50" s="4" t="s">
        <v>267</v>
      </c>
      <c r="D50" s="4" t="s">
        <v>147</v>
      </c>
      <c r="E50" s="5"/>
      <c r="F50" s="4" t="s">
        <v>268</v>
      </c>
      <c r="G50" s="4" t="s">
        <v>28</v>
      </c>
      <c r="H50" s="4" t="s">
        <v>37</v>
      </c>
      <c r="I50" s="4" t="s">
        <v>85</v>
      </c>
      <c r="J50" s="4" t="n">
        <v>2</v>
      </c>
      <c r="K50" s="5" t="s">
        <v>78</v>
      </c>
      <c r="L50" s="4" t="s">
        <v>269</v>
      </c>
    </row>
    <row r="51" customFormat="false" ht="15" hidden="false" customHeight="false" outlineLevel="0" collapsed="false">
      <c r="A51" s="4" t="s">
        <v>270</v>
      </c>
      <c r="B51" s="4" t="s">
        <v>271</v>
      </c>
      <c r="C51" s="4" t="s">
        <v>272</v>
      </c>
      <c r="D51" s="4" t="s">
        <v>95</v>
      </c>
      <c r="E51" s="5"/>
      <c r="F51" s="4" t="s">
        <v>273</v>
      </c>
      <c r="G51" s="4" t="s">
        <v>28</v>
      </c>
      <c r="H51" s="4" t="s">
        <v>185</v>
      </c>
      <c r="I51" s="4" t="s">
        <v>85</v>
      </c>
      <c r="J51" s="4" t="n">
        <v>1</v>
      </c>
      <c r="K51" s="5" t="s">
        <v>78</v>
      </c>
      <c r="L51" s="4"/>
    </row>
    <row r="52" customFormat="false" ht="15" hidden="false" customHeight="false" outlineLevel="0" collapsed="false">
      <c r="A52" s="4" t="s">
        <v>274</v>
      </c>
      <c r="B52" s="4" t="s">
        <v>271</v>
      </c>
      <c r="C52" s="4" t="s">
        <v>275</v>
      </c>
      <c r="D52" s="4" t="s">
        <v>95</v>
      </c>
      <c r="E52" s="5"/>
      <c r="F52" s="4" t="s">
        <v>276</v>
      </c>
      <c r="G52" s="4" t="s">
        <v>28</v>
      </c>
      <c r="H52" s="4" t="s">
        <v>185</v>
      </c>
      <c r="I52" s="4" t="s">
        <v>85</v>
      </c>
      <c r="J52" s="4" t="n">
        <v>1</v>
      </c>
      <c r="K52" s="5" t="s">
        <v>78</v>
      </c>
      <c r="L52" s="4"/>
    </row>
    <row r="53" customFormat="false" ht="15" hidden="false" customHeight="false" outlineLevel="0" collapsed="false">
      <c r="A53" s="4" t="s">
        <v>277</v>
      </c>
      <c r="B53" s="4" t="s">
        <v>271</v>
      </c>
      <c r="C53" s="4" t="s">
        <v>278</v>
      </c>
      <c r="D53" s="4" t="s">
        <v>25</v>
      </c>
      <c r="E53" s="5"/>
      <c r="F53" s="4" t="s">
        <v>279</v>
      </c>
      <c r="G53" s="4" t="s">
        <v>28</v>
      </c>
      <c r="H53" s="4" t="s">
        <v>37</v>
      </c>
      <c r="I53" s="4" t="s">
        <v>85</v>
      </c>
      <c r="J53" s="4" t="n">
        <v>1</v>
      </c>
      <c r="K53" s="5" t="s">
        <v>78</v>
      </c>
      <c r="L53" s="4"/>
    </row>
    <row r="54" customFormat="false" ht="15" hidden="false" customHeight="false" outlineLevel="0" collapsed="false">
      <c r="A54" s="4" t="s">
        <v>280</v>
      </c>
      <c r="B54" s="4" t="s">
        <v>271</v>
      </c>
      <c r="C54" s="4" t="s">
        <v>281</v>
      </c>
      <c r="D54" s="4" t="s">
        <v>95</v>
      </c>
      <c r="E54" s="5"/>
      <c r="F54" s="4" t="s">
        <v>282</v>
      </c>
      <c r="G54" s="4" t="s">
        <v>134</v>
      </c>
      <c r="H54" s="4" t="s">
        <v>37</v>
      </c>
      <c r="I54" s="4" t="s">
        <v>85</v>
      </c>
      <c r="J54" s="4" t="n">
        <v>2</v>
      </c>
      <c r="K54" s="5" t="s">
        <v>78</v>
      </c>
      <c r="L54" s="4"/>
    </row>
    <row r="55" customFormat="false" ht="15" hidden="false" customHeight="false" outlineLevel="0" collapsed="false">
      <c r="A55" s="4" t="s">
        <v>283</v>
      </c>
      <c r="B55" s="4" t="s">
        <v>284</v>
      </c>
      <c r="C55" s="4" t="s">
        <v>285</v>
      </c>
      <c r="D55" s="4" t="s">
        <v>95</v>
      </c>
      <c r="E55" s="5"/>
      <c r="F55" s="4" t="s">
        <v>286</v>
      </c>
      <c r="G55" s="4" t="s">
        <v>28</v>
      </c>
      <c r="H55" s="4" t="s">
        <v>37</v>
      </c>
      <c r="I55" s="4" t="s">
        <v>85</v>
      </c>
      <c r="J55" s="4" t="n">
        <v>2</v>
      </c>
      <c r="K55" s="5" t="s">
        <v>78</v>
      </c>
      <c r="L55" s="4"/>
    </row>
    <row r="56" customFormat="false" ht="15" hidden="false" customHeight="false" outlineLevel="0" collapsed="false">
      <c r="A56" s="4" t="s">
        <v>287</v>
      </c>
      <c r="B56" s="4" t="s">
        <v>284</v>
      </c>
      <c r="C56" s="4" t="s">
        <v>288</v>
      </c>
      <c r="D56" s="4" t="s">
        <v>147</v>
      </c>
      <c r="E56" s="5"/>
      <c r="F56" s="4" t="s">
        <v>289</v>
      </c>
      <c r="G56" s="4" t="s">
        <v>44</v>
      </c>
      <c r="H56" s="4" t="s">
        <v>37</v>
      </c>
      <c r="I56" s="4" t="s">
        <v>85</v>
      </c>
      <c r="J56" s="4" t="n">
        <v>2</v>
      </c>
      <c r="K56" s="5" t="s">
        <v>78</v>
      </c>
      <c r="L56" s="4" t="s">
        <v>290</v>
      </c>
    </row>
    <row r="57" customFormat="false" ht="15" hidden="false" customHeight="false" outlineLevel="0" collapsed="false">
      <c r="A57" s="4" t="s">
        <v>291</v>
      </c>
      <c r="B57" s="4" t="s">
        <v>284</v>
      </c>
      <c r="C57" s="4" t="s">
        <v>292</v>
      </c>
      <c r="D57" s="4" t="s">
        <v>25</v>
      </c>
      <c r="E57" s="5"/>
      <c r="F57" s="4" t="s">
        <v>293</v>
      </c>
      <c r="G57" s="4" t="s">
        <v>28</v>
      </c>
      <c r="H57" s="4" t="s">
        <v>211</v>
      </c>
      <c r="I57" s="4" t="s">
        <v>211</v>
      </c>
      <c r="J57" s="4" t="n">
        <v>1</v>
      </c>
      <c r="K57" s="5" t="s">
        <v>78</v>
      </c>
      <c r="L57" s="4" t="s">
        <v>294</v>
      </c>
    </row>
    <row r="58" customFormat="false" ht="15" hidden="false" customHeight="false" outlineLevel="0" collapsed="false">
      <c r="A58" s="4" t="s">
        <v>295</v>
      </c>
      <c r="B58" s="4" t="s">
        <v>296</v>
      </c>
      <c r="C58" s="4" t="s">
        <v>297</v>
      </c>
      <c r="D58" s="4" t="s">
        <v>147</v>
      </c>
      <c r="E58" s="5"/>
      <c r="F58" s="4" t="s">
        <v>298</v>
      </c>
      <c r="G58" s="4" t="s">
        <v>28</v>
      </c>
      <c r="H58" s="4" t="s">
        <v>37</v>
      </c>
      <c r="I58" s="4" t="s">
        <v>149</v>
      </c>
      <c r="J58" s="4" t="n">
        <v>2</v>
      </c>
      <c r="K58" s="5" t="s">
        <v>78</v>
      </c>
      <c r="L58" s="4"/>
    </row>
    <row r="59" customFormat="false" ht="23.85" hidden="false" customHeight="false" outlineLevel="0" collapsed="false">
      <c r="A59" s="4" t="s">
        <v>299</v>
      </c>
      <c r="B59" s="4" t="s">
        <v>296</v>
      </c>
      <c r="C59" s="4" t="s">
        <v>300</v>
      </c>
      <c r="D59" s="4" t="s">
        <v>41</v>
      </c>
      <c r="E59" s="5"/>
      <c r="F59" s="4" t="s">
        <v>301</v>
      </c>
      <c r="G59" s="4" t="s">
        <v>28</v>
      </c>
      <c r="H59" s="4" t="s">
        <v>302</v>
      </c>
      <c r="I59" s="4" t="s">
        <v>85</v>
      </c>
      <c r="J59" s="4" t="n">
        <v>2</v>
      </c>
      <c r="K59" s="5" t="s">
        <v>78</v>
      </c>
      <c r="L59" s="4" t="s">
        <v>303</v>
      </c>
    </row>
    <row r="60" customFormat="false" ht="15" hidden="false" customHeight="false" outlineLevel="0" collapsed="false">
      <c r="A60" s="4" t="s">
        <v>304</v>
      </c>
      <c r="B60" s="4" t="s">
        <v>305</v>
      </c>
      <c r="C60" s="4" t="s">
        <v>306</v>
      </c>
      <c r="D60" s="4" t="s">
        <v>95</v>
      </c>
      <c r="E60" s="4" t="s">
        <v>307</v>
      </c>
      <c r="F60" s="4" t="s">
        <v>308</v>
      </c>
      <c r="G60" s="4" t="s">
        <v>28</v>
      </c>
      <c r="H60" s="4" t="s">
        <v>309</v>
      </c>
      <c r="I60" s="4" t="s">
        <v>310</v>
      </c>
      <c r="J60" s="4" t="n">
        <v>3</v>
      </c>
      <c r="K60" s="5" t="s">
        <v>78</v>
      </c>
      <c r="L60" s="4"/>
    </row>
    <row r="61" customFormat="false" ht="15" hidden="false" customHeight="false" outlineLevel="0" collapsed="false">
      <c r="A61" s="4" t="s">
        <v>311</v>
      </c>
      <c r="B61" s="4" t="s">
        <v>305</v>
      </c>
      <c r="C61" s="4" t="s">
        <v>312</v>
      </c>
      <c r="D61" s="4" t="s">
        <v>95</v>
      </c>
      <c r="E61" s="5"/>
      <c r="F61" s="4" t="s">
        <v>313</v>
      </c>
      <c r="G61" s="4" t="s">
        <v>28</v>
      </c>
      <c r="H61" s="4" t="s">
        <v>244</v>
      </c>
      <c r="I61" s="4" t="s">
        <v>310</v>
      </c>
      <c r="J61" s="4" t="n">
        <v>3</v>
      </c>
      <c r="K61" s="5" t="s">
        <v>78</v>
      </c>
      <c r="L61" s="4"/>
    </row>
    <row r="62" customFormat="false" ht="15" hidden="false" customHeight="false" outlineLevel="0" collapsed="false">
      <c r="A62" s="4" t="s">
        <v>314</v>
      </c>
      <c r="B62" s="4" t="s">
        <v>305</v>
      </c>
      <c r="C62" s="4" t="s">
        <v>315</v>
      </c>
      <c r="D62" s="4" t="s">
        <v>25</v>
      </c>
      <c r="E62" s="5"/>
      <c r="F62" s="4" t="s">
        <v>316</v>
      </c>
      <c r="G62" s="4" t="s">
        <v>134</v>
      </c>
      <c r="H62" s="4" t="s">
        <v>317</v>
      </c>
      <c r="I62" s="4" t="s">
        <v>85</v>
      </c>
      <c r="J62" s="4" t="n">
        <v>3</v>
      </c>
      <c r="K62" s="5" t="s">
        <v>78</v>
      </c>
      <c r="L62" s="4"/>
    </row>
    <row r="63" customFormat="false" ht="15" hidden="false" customHeight="false" outlineLevel="0" collapsed="false">
      <c r="A63" s="4" t="s">
        <v>318</v>
      </c>
      <c r="B63" s="4" t="s">
        <v>319</v>
      </c>
      <c r="C63" s="4" t="s">
        <v>320</v>
      </c>
      <c r="D63" s="4" t="s">
        <v>95</v>
      </c>
      <c r="E63" s="5"/>
      <c r="F63" s="4" t="s">
        <v>321</v>
      </c>
      <c r="G63" s="4" t="s">
        <v>28</v>
      </c>
      <c r="H63" s="4" t="s">
        <v>211</v>
      </c>
      <c r="I63" s="4" t="s">
        <v>211</v>
      </c>
      <c r="J63" s="4" t="n">
        <v>1</v>
      </c>
      <c r="K63" s="5" t="s">
        <v>78</v>
      </c>
      <c r="L63" s="4" t="s">
        <v>322</v>
      </c>
    </row>
    <row r="64" customFormat="false" ht="23.85" hidden="false" customHeight="false" outlineLevel="0" collapsed="false">
      <c r="A64" s="4" t="s">
        <v>323</v>
      </c>
      <c r="B64" s="4" t="s">
        <v>324</v>
      </c>
      <c r="C64" s="4" t="s">
        <v>325</v>
      </c>
      <c r="D64" s="4" t="s">
        <v>25</v>
      </c>
      <c r="E64" s="5"/>
      <c r="F64" s="4" t="s">
        <v>326</v>
      </c>
      <c r="G64" s="4" t="s">
        <v>28</v>
      </c>
      <c r="H64" s="4" t="s">
        <v>327</v>
      </c>
      <c r="I64" s="4" t="s">
        <v>85</v>
      </c>
      <c r="J64" s="4" t="n">
        <v>3</v>
      </c>
      <c r="K64" s="5" t="s">
        <v>78</v>
      </c>
      <c r="L64" s="4"/>
    </row>
    <row r="65" customFormat="false" ht="15" hidden="false" customHeight="false" outlineLevel="0" collapsed="false">
      <c r="A65" s="4" t="s">
        <v>328</v>
      </c>
      <c r="B65" s="4" t="s">
        <v>324</v>
      </c>
      <c r="C65" s="4" t="s">
        <v>329</v>
      </c>
      <c r="D65" s="4" t="s">
        <v>211</v>
      </c>
      <c r="E65" s="5"/>
      <c r="F65" s="4" t="s">
        <v>330</v>
      </c>
      <c r="G65" s="4" t="s">
        <v>28</v>
      </c>
      <c r="H65" s="4" t="s">
        <v>331</v>
      </c>
      <c r="I65" s="4" t="s">
        <v>310</v>
      </c>
      <c r="J65" s="4" t="n">
        <v>3</v>
      </c>
      <c r="K65" s="5" t="s">
        <v>78</v>
      </c>
      <c r="L65" s="4" t="s">
        <v>332</v>
      </c>
    </row>
    <row r="66" customFormat="false" ht="23.85" hidden="false" customHeight="false" outlineLevel="0" collapsed="false">
      <c r="A66" s="4" t="s">
        <v>333</v>
      </c>
      <c r="B66" s="4" t="s">
        <v>334</v>
      </c>
      <c r="C66" s="4" t="s">
        <v>335</v>
      </c>
      <c r="D66" s="4" t="s">
        <v>147</v>
      </c>
      <c r="E66" s="5"/>
      <c r="F66" s="4" t="s">
        <v>336</v>
      </c>
      <c r="G66" s="4" t="s">
        <v>28</v>
      </c>
      <c r="H66" s="4" t="s">
        <v>174</v>
      </c>
      <c r="I66" s="4" t="s">
        <v>158</v>
      </c>
      <c r="J66" s="4" t="n">
        <v>1</v>
      </c>
      <c r="K66" s="5" t="s">
        <v>78</v>
      </c>
      <c r="L66" s="4" t="s">
        <v>337</v>
      </c>
    </row>
    <row r="67" customFormat="false" ht="23.85" hidden="false" customHeight="false" outlineLevel="0" collapsed="false">
      <c r="A67" s="4" t="s">
        <v>338</v>
      </c>
      <c r="B67" s="4" t="s">
        <v>334</v>
      </c>
      <c r="C67" s="4" t="s">
        <v>339</v>
      </c>
      <c r="D67" s="4" t="s">
        <v>25</v>
      </c>
      <c r="E67" s="5"/>
      <c r="F67" s="4" t="s">
        <v>340</v>
      </c>
      <c r="G67" s="4" t="s">
        <v>51</v>
      </c>
      <c r="H67" s="4" t="s">
        <v>341</v>
      </c>
      <c r="I67" s="4" t="s">
        <v>149</v>
      </c>
      <c r="J67" s="4" t="n">
        <v>2</v>
      </c>
      <c r="K67" s="5" t="s">
        <v>78</v>
      </c>
      <c r="L67" s="4"/>
    </row>
    <row r="68" customFormat="false" ht="23.85" hidden="false" customHeight="false" outlineLevel="0" collapsed="false">
      <c r="A68" s="4" t="s">
        <v>342</v>
      </c>
      <c r="B68" s="4" t="s">
        <v>334</v>
      </c>
      <c r="C68" s="4" t="s">
        <v>343</v>
      </c>
      <c r="D68" s="4" t="s">
        <v>25</v>
      </c>
      <c r="E68" s="5"/>
      <c r="F68" s="4" t="s">
        <v>344</v>
      </c>
      <c r="G68" s="4" t="s">
        <v>345</v>
      </c>
      <c r="H68" s="4" t="s">
        <v>37</v>
      </c>
      <c r="I68" s="4" t="s">
        <v>149</v>
      </c>
      <c r="J68" s="4" t="n">
        <v>2</v>
      </c>
      <c r="K68" s="5" t="s">
        <v>78</v>
      </c>
      <c r="L68" s="4"/>
    </row>
    <row r="69" customFormat="false" ht="23.85" hidden="false" customHeight="false" outlineLevel="0" collapsed="false">
      <c r="A69" s="4" t="s">
        <v>346</v>
      </c>
      <c r="B69" s="4" t="s">
        <v>334</v>
      </c>
      <c r="C69" s="4" t="s">
        <v>347</v>
      </c>
      <c r="D69" s="4" t="s">
        <v>147</v>
      </c>
      <c r="E69" s="5"/>
      <c r="F69" s="4" t="s">
        <v>348</v>
      </c>
      <c r="G69" s="4" t="s">
        <v>28</v>
      </c>
      <c r="H69" s="4" t="s">
        <v>244</v>
      </c>
      <c r="I69" s="4" t="s">
        <v>149</v>
      </c>
      <c r="J69" s="4" t="n">
        <v>3</v>
      </c>
      <c r="K69" s="5" t="s">
        <v>78</v>
      </c>
      <c r="L69" s="4"/>
    </row>
    <row r="70" customFormat="false" ht="23.85" hidden="false" customHeight="false" outlineLevel="0" collapsed="false">
      <c r="A70" s="4" t="s">
        <v>349</v>
      </c>
      <c r="B70" s="4" t="s">
        <v>350</v>
      </c>
      <c r="C70" s="4" t="s">
        <v>351</v>
      </c>
      <c r="D70" s="4" t="s">
        <v>95</v>
      </c>
      <c r="E70" s="5"/>
      <c r="F70" s="4" t="s">
        <v>352</v>
      </c>
      <c r="G70" s="4" t="s">
        <v>28</v>
      </c>
      <c r="H70" s="4" t="s">
        <v>37</v>
      </c>
      <c r="I70" s="4" t="s">
        <v>85</v>
      </c>
      <c r="J70" s="4" t="n">
        <v>1</v>
      </c>
      <c r="K70" s="5" t="s">
        <v>78</v>
      </c>
      <c r="L70" s="4"/>
    </row>
    <row r="71" customFormat="false" ht="23.85" hidden="false" customHeight="false" outlineLevel="0" collapsed="false">
      <c r="A71" s="4" t="s">
        <v>353</v>
      </c>
      <c r="B71" s="4" t="s">
        <v>350</v>
      </c>
      <c r="C71" s="4" t="s">
        <v>354</v>
      </c>
      <c r="D71" s="4" t="s">
        <v>95</v>
      </c>
      <c r="E71" s="4" t="s">
        <v>355</v>
      </c>
      <c r="F71" s="4" t="s">
        <v>356</v>
      </c>
      <c r="G71" s="4" t="s">
        <v>134</v>
      </c>
      <c r="H71" s="4" t="s">
        <v>357</v>
      </c>
      <c r="I71" s="4" t="s">
        <v>85</v>
      </c>
      <c r="J71" s="4" t="n">
        <v>1</v>
      </c>
      <c r="K71" s="5" t="s">
        <v>78</v>
      </c>
      <c r="L71" s="4"/>
    </row>
    <row r="72" customFormat="false" ht="23.85" hidden="false" customHeight="false" outlineLevel="0" collapsed="false">
      <c r="A72" s="4" t="s">
        <v>358</v>
      </c>
      <c r="B72" s="4" t="s">
        <v>350</v>
      </c>
      <c r="C72" s="4" t="s">
        <v>359</v>
      </c>
      <c r="D72" s="4" t="s">
        <v>95</v>
      </c>
      <c r="E72" s="5"/>
      <c r="F72" s="4" t="s">
        <v>360</v>
      </c>
      <c r="G72" s="4" t="s">
        <v>134</v>
      </c>
      <c r="H72" s="4" t="s">
        <v>37</v>
      </c>
      <c r="I72" s="4" t="s">
        <v>85</v>
      </c>
      <c r="J72" s="4" t="n">
        <v>2</v>
      </c>
      <c r="K72" s="5" t="s">
        <v>78</v>
      </c>
      <c r="L72" s="4"/>
    </row>
    <row r="73" customFormat="false" ht="23.85" hidden="false" customHeight="false" outlineLevel="0" collapsed="false">
      <c r="A73" s="4" t="s">
        <v>361</v>
      </c>
      <c r="B73" s="4" t="s">
        <v>362</v>
      </c>
      <c r="C73" s="4" t="s">
        <v>363</v>
      </c>
      <c r="D73" s="4" t="s">
        <v>147</v>
      </c>
      <c r="E73" s="4" t="s">
        <v>307</v>
      </c>
      <c r="F73" s="4" t="s">
        <v>364</v>
      </c>
      <c r="G73" s="4" t="s">
        <v>28</v>
      </c>
      <c r="H73" s="4" t="s">
        <v>365</v>
      </c>
      <c r="I73" s="4" t="s">
        <v>85</v>
      </c>
      <c r="J73" s="4" t="n">
        <v>1</v>
      </c>
      <c r="K73" s="4" t="s">
        <v>31</v>
      </c>
      <c r="L73" s="4" t="s">
        <v>366</v>
      </c>
    </row>
    <row r="74" customFormat="false" ht="23.85" hidden="false" customHeight="false" outlineLevel="0" collapsed="false">
      <c r="A74" s="4" t="s">
        <v>367</v>
      </c>
      <c r="B74" s="4" t="s">
        <v>362</v>
      </c>
      <c r="C74" s="4" t="s">
        <v>368</v>
      </c>
      <c r="D74" s="4" t="s">
        <v>147</v>
      </c>
      <c r="E74" s="5"/>
      <c r="F74" s="4" t="s">
        <v>369</v>
      </c>
      <c r="G74" s="4" t="s">
        <v>28</v>
      </c>
      <c r="H74" s="4" t="s">
        <v>370</v>
      </c>
      <c r="I74" s="4" t="s">
        <v>158</v>
      </c>
      <c r="J74" s="4" t="n">
        <v>3</v>
      </c>
      <c r="K74" s="5" t="s">
        <v>78</v>
      </c>
      <c r="L74" s="4" t="s">
        <v>371</v>
      </c>
    </row>
    <row r="75" customFormat="false" ht="15" hidden="false" customHeight="false" outlineLevel="0" collapsed="false">
      <c r="A75" s="4" t="s">
        <v>372</v>
      </c>
      <c r="B75" s="4" t="s">
        <v>373</v>
      </c>
      <c r="C75" s="4" t="s">
        <v>374</v>
      </c>
      <c r="D75" s="4" t="s">
        <v>147</v>
      </c>
      <c r="E75" s="5"/>
      <c r="F75" s="4" t="s">
        <v>375</v>
      </c>
      <c r="G75" s="4" t="s">
        <v>28</v>
      </c>
      <c r="H75" s="4" t="s">
        <v>37</v>
      </c>
      <c r="I75" s="4" t="s">
        <v>85</v>
      </c>
      <c r="J75" s="4" t="n">
        <v>3</v>
      </c>
      <c r="K75" s="5" t="s">
        <v>78</v>
      </c>
      <c r="L75" s="4"/>
    </row>
    <row r="76" customFormat="false" ht="15" hidden="false" customHeight="false" outlineLevel="0" collapsed="false">
      <c r="A76" s="4" t="s">
        <v>376</v>
      </c>
      <c r="B76" s="4" t="s">
        <v>373</v>
      </c>
      <c r="C76" s="4" t="s">
        <v>377</v>
      </c>
      <c r="D76" s="4" t="s">
        <v>25</v>
      </c>
      <c r="E76" s="5"/>
      <c r="F76" s="4" t="s">
        <v>378</v>
      </c>
      <c r="G76" s="4" t="s">
        <v>28</v>
      </c>
      <c r="H76" s="4" t="s">
        <v>211</v>
      </c>
      <c r="I76" s="4" t="s">
        <v>211</v>
      </c>
      <c r="J76" s="4" t="n">
        <v>2</v>
      </c>
      <c r="K76" s="5" t="s">
        <v>78</v>
      </c>
      <c r="L76" s="4" t="s">
        <v>379</v>
      </c>
    </row>
    <row r="77" customFormat="false" ht="23.85" hidden="false" customHeight="false" outlineLevel="0" collapsed="false">
      <c r="A77" s="4" t="s">
        <v>380</v>
      </c>
      <c r="B77" s="4" t="s">
        <v>381</v>
      </c>
      <c r="C77" s="4" t="s">
        <v>382</v>
      </c>
      <c r="D77" s="4" t="s">
        <v>147</v>
      </c>
      <c r="E77" s="4" t="s">
        <v>383</v>
      </c>
      <c r="F77" s="4" t="s">
        <v>384</v>
      </c>
      <c r="G77" s="4" t="s">
        <v>28</v>
      </c>
      <c r="H77" s="4" t="s">
        <v>37</v>
      </c>
      <c r="I77" s="4" t="s">
        <v>85</v>
      </c>
      <c r="J77" s="4" t="n">
        <v>2</v>
      </c>
      <c r="K77" s="4" t="s">
        <v>31</v>
      </c>
      <c r="L77" s="4"/>
    </row>
    <row r="78" customFormat="false" ht="23.85" hidden="false" customHeight="false" outlineLevel="0" collapsed="false">
      <c r="A78" s="4" t="s">
        <v>385</v>
      </c>
      <c r="B78" s="4" t="s">
        <v>381</v>
      </c>
      <c r="C78" s="4" t="s">
        <v>386</v>
      </c>
      <c r="D78" s="4" t="s">
        <v>387</v>
      </c>
      <c r="E78" s="5"/>
      <c r="F78" s="4" t="s">
        <v>388</v>
      </c>
      <c r="G78" s="4" t="s">
        <v>28</v>
      </c>
      <c r="H78" s="4" t="s">
        <v>389</v>
      </c>
      <c r="I78" s="4" t="s">
        <v>85</v>
      </c>
      <c r="J78" s="4" t="n">
        <v>2</v>
      </c>
      <c r="K78" s="5" t="s">
        <v>78</v>
      </c>
      <c r="L78" s="4" t="s">
        <v>390</v>
      </c>
    </row>
    <row r="79" customFormat="false" ht="23.85" hidden="false" customHeight="false" outlineLevel="0" collapsed="false">
      <c r="A79" s="4" t="s">
        <v>391</v>
      </c>
      <c r="B79" s="4" t="s">
        <v>392</v>
      </c>
      <c r="C79" s="4" t="s">
        <v>393</v>
      </c>
      <c r="D79" s="4" t="s">
        <v>394</v>
      </c>
      <c r="E79" s="5"/>
      <c r="F79" s="4" t="s">
        <v>395</v>
      </c>
      <c r="G79" s="4" t="s">
        <v>44</v>
      </c>
      <c r="H79" s="4" t="s">
        <v>396</v>
      </c>
      <c r="I79" s="4" t="s">
        <v>30</v>
      </c>
      <c r="J79" s="4" t="n">
        <v>2</v>
      </c>
      <c r="K79" s="5" t="s">
        <v>78</v>
      </c>
      <c r="L79" s="4"/>
    </row>
    <row r="80" customFormat="false" ht="23.85" hidden="false" customHeight="false" outlineLevel="0" collapsed="false">
      <c r="A80" s="4" t="s">
        <v>397</v>
      </c>
      <c r="B80" s="4" t="s">
        <v>392</v>
      </c>
      <c r="C80" s="4" t="s">
        <v>398</v>
      </c>
      <c r="D80" s="4" t="s">
        <v>399</v>
      </c>
      <c r="E80" s="5"/>
      <c r="F80" s="4" t="s">
        <v>400</v>
      </c>
      <c r="G80" s="4" t="s">
        <v>51</v>
      </c>
      <c r="H80" s="4" t="s">
        <v>401</v>
      </c>
      <c r="I80" s="4" t="s">
        <v>30</v>
      </c>
      <c r="J80" s="4" t="n">
        <v>2</v>
      </c>
      <c r="K80" s="5" t="s">
        <v>78</v>
      </c>
      <c r="L80" s="4"/>
    </row>
    <row r="81" customFormat="false" ht="15" hidden="false" customHeight="false" outlineLevel="0" collapsed="false">
      <c r="A81" s="4" t="s">
        <v>402</v>
      </c>
      <c r="B81" s="4" t="s">
        <v>392</v>
      </c>
      <c r="C81" s="4" t="s">
        <v>403</v>
      </c>
      <c r="D81" s="4" t="s">
        <v>399</v>
      </c>
      <c r="E81" s="5"/>
      <c r="F81" s="4" t="s">
        <v>404</v>
      </c>
      <c r="G81" s="4" t="s">
        <v>28</v>
      </c>
      <c r="H81" s="4" t="s">
        <v>37</v>
      </c>
      <c r="I81" s="4" t="s">
        <v>85</v>
      </c>
      <c r="J81" s="4" t="n">
        <v>3</v>
      </c>
      <c r="K81" s="5" t="s">
        <v>78</v>
      </c>
      <c r="L81" s="4"/>
    </row>
    <row r="82" customFormat="false" ht="23.85" hidden="false" customHeight="false" outlineLevel="0" collapsed="false">
      <c r="A82" s="4" t="s">
        <v>405</v>
      </c>
      <c r="B82" s="4" t="s">
        <v>182</v>
      </c>
      <c r="C82" s="4" t="s">
        <v>406</v>
      </c>
      <c r="D82" s="4" t="s">
        <v>147</v>
      </c>
      <c r="E82" s="4" t="s">
        <v>407</v>
      </c>
      <c r="F82" s="4" t="s">
        <v>408</v>
      </c>
      <c r="G82" s="4" t="s">
        <v>134</v>
      </c>
      <c r="H82" s="4" t="s">
        <v>409</v>
      </c>
      <c r="I82" s="4" t="s">
        <v>158</v>
      </c>
      <c r="J82" s="4" t="n">
        <v>1</v>
      </c>
      <c r="K82" s="4" t="s">
        <v>31</v>
      </c>
      <c r="L82" s="4" t="s">
        <v>410</v>
      </c>
    </row>
    <row r="83" customFormat="false" ht="35.05" hidden="false" customHeight="false" outlineLevel="0" collapsed="false">
      <c r="A83" s="4" t="s">
        <v>411</v>
      </c>
      <c r="B83" s="4" t="s">
        <v>124</v>
      </c>
      <c r="C83" s="4" t="s">
        <v>412</v>
      </c>
      <c r="D83" s="4" t="s">
        <v>147</v>
      </c>
      <c r="E83" s="4" t="s">
        <v>413</v>
      </c>
      <c r="F83" s="4" t="s">
        <v>414</v>
      </c>
      <c r="G83" s="4" t="s">
        <v>28</v>
      </c>
      <c r="H83" s="4" t="s">
        <v>174</v>
      </c>
      <c r="I83" s="4" t="s">
        <v>158</v>
      </c>
      <c r="J83" s="4" t="n">
        <v>1</v>
      </c>
      <c r="K83" s="4" t="s">
        <v>31</v>
      </c>
      <c r="L83" s="4" t="s">
        <v>415</v>
      </c>
    </row>
    <row r="84" customFormat="false" ht="23.85" hidden="false" customHeight="false" outlineLevel="0" collapsed="false">
      <c r="A84" s="4" t="s">
        <v>416</v>
      </c>
      <c r="B84" s="4" t="s">
        <v>182</v>
      </c>
      <c r="C84" s="4" t="s">
        <v>417</v>
      </c>
      <c r="D84" s="4" t="s">
        <v>147</v>
      </c>
      <c r="E84" s="5"/>
      <c r="F84" s="4" t="s">
        <v>418</v>
      </c>
      <c r="G84" s="4" t="s">
        <v>28</v>
      </c>
      <c r="H84" s="4" t="s">
        <v>174</v>
      </c>
      <c r="I84" s="4" t="s">
        <v>158</v>
      </c>
      <c r="J84" s="4" t="n">
        <v>2</v>
      </c>
      <c r="K84" s="5" t="s">
        <v>78</v>
      </c>
      <c r="L84" s="4" t="s">
        <v>419</v>
      </c>
    </row>
    <row r="85" customFormat="false" ht="23.85" hidden="false" customHeight="false" outlineLevel="0" collapsed="false">
      <c r="A85" s="4" t="s">
        <v>420</v>
      </c>
      <c r="B85" s="4" t="s">
        <v>124</v>
      </c>
      <c r="C85" s="4" t="s">
        <v>421</v>
      </c>
      <c r="D85" s="4" t="s">
        <v>126</v>
      </c>
      <c r="E85" s="5"/>
      <c r="F85" s="4" t="s">
        <v>422</v>
      </c>
      <c r="G85" s="4" t="s">
        <v>134</v>
      </c>
      <c r="H85" s="4" t="s">
        <v>423</v>
      </c>
      <c r="I85" s="4" t="s">
        <v>219</v>
      </c>
      <c r="J85" s="4" t="n">
        <v>2</v>
      </c>
      <c r="K85" s="5" t="s">
        <v>78</v>
      </c>
      <c r="L85" s="4" t="s">
        <v>424</v>
      </c>
    </row>
    <row r="86" customFormat="false" ht="23.85" hidden="false" customHeight="false" outlineLevel="0" collapsed="false">
      <c r="A86" s="4" t="s">
        <v>425</v>
      </c>
      <c r="B86" s="4" t="s">
        <v>124</v>
      </c>
      <c r="C86" s="4" t="s">
        <v>426</v>
      </c>
      <c r="D86" s="4" t="s">
        <v>126</v>
      </c>
      <c r="E86" s="5"/>
      <c r="F86" s="4" t="s">
        <v>427</v>
      </c>
      <c r="G86" s="4" t="s">
        <v>28</v>
      </c>
      <c r="H86" s="4" t="s">
        <v>423</v>
      </c>
      <c r="I86" s="4" t="s">
        <v>219</v>
      </c>
      <c r="J86" s="4" t="n">
        <v>3</v>
      </c>
      <c r="K86" s="5" t="s">
        <v>78</v>
      </c>
      <c r="L86" s="4"/>
    </row>
    <row r="87" customFormat="false" ht="23.85" hidden="false" customHeight="false" outlineLevel="0" collapsed="false">
      <c r="A87" s="4" t="s">
        <v>428</v>
      </c>
      <c r="B87" s="4" t="s">
        <v>381</v>
      </c>
      <c r="C87" s="4" t="s">
        <v>429</v>
      </c>
      <c r="D87" s="4" t="s">
        <v>147</v>
      </c>
      <c r="E87" s="4" t="s">
        <v>413</v>
      </c>
      <c r="F87" s="4" t="s">
        <v>430</v>
      </c>
      <c r="G87" s="4" t="s">
        <v>44</v>
      </c>
      <c r="H87" s="4" t="s">
        <v>37</v>
      </c>
      <c r="I87" s="4" t="s">
        <v>85</v>
      </c>
      <c r="J87" s="4" t="n">
        <v>2</v>
      </c>
      <c r="K87" s="4" t="s">
        <v>31</v>
      </c>
      <c r="L87" s="4" t="s">
        <v>431</v>
      </c>
    </row>
    <row r="88" customFormat="false" ht="35.05" hidden="false" customHeight="false" outlineLevel="0" collapsed="false">
      <c r="A88" s="4" t="s">
        <v>432</v>
      </c>
      <c r="B88" s="4" t="s">
        <v>296</v>
      </c>
      <c r="C88" s="4" t="s">
        <v>433</v>
      </c>
      <c r="D88" s="4" t="s">
        <v>434</v>
      </c>
      <c r="E88" s="4" t="s">
        <v>435</v>
      </c>
      <c r="F88" s="4" t="s">
        <v>436</v>
      </c>
      <c r="G88" s="4" t="s">
        <v>44</v>
      </c>
      <c r="H88" s="4" t="s">
        <v>437</v>
      </c>
      <c r="I88" s="4" t="s">
        <v>30</v>
      </c>
      <c r="J88" s="4" t="n">
        <v>1</v>
      </c>
      <c r="K88" s="4" t="s">
        <v>31</v>
      </c>
      <c r="L88" s="4" t="s">
        <v>438</v>
      </c>
    </row>
    <row r="89" customFormat="false" ht="35.05" hidden="false" customHeight="false" outlineLevel="0" collapsed="false">
      <c r="A89" s="4" t="s">
        <v>439</v>
      </c>
      <c r="B89" s="4" t="s">
        <v>160</v>
      </c>
      <c r="C89" s="4" t="s">
        <v>440</v>
      </c>
      <c r="D89" s="4" t="s">
        <v>147</v>
      </c>
      <c r="E89" s="4" t="s">
        <v>441</v>
      </c>
      <c r="F89" s="4" t="s">
        <v>442</v>
      </c>
      <c r="G89" s="4" t="s">
        <v>44</v>
      </c>
      <c r="H89" s="4" t="s">
        <v>443</v>
      </c>
      <c r="I89" s="4" t="s">
        <v>85</v>
      </c>
      <c r="J89" s="4" t="n">
        <v>2</v>
      </c>
      <c r="K89" s="5" t="s">
        <v>78</v>
      </c>
      <c r="L89" s="4" t="s">
        <v>444</v>
      </c>
    </row>
    <row r="90" customFormat="false" ht="23.85" hidden="false" customHeight="false" outlineLevel="0" collapsed="false">
      <c r="A90" s="4" t="s">
        <v>445</v>
      </c>
      <c r="B90" s="4" t="s">
        <v>160</v>
      </c>
      <c r="C90" s="4" t="s">
        <v>446</v>
      </c>
      <c r="D90" s="4" t="s">
        <v>147</v>
      </c>
      <c r="E90" s="5"/>
      <c r="F90" s="4" t="s">
        <v>447</v>
      </c>
      <c r="G90" s="4" t="s">
        <v>28</v>
      </c>
      <c r="H90" s="4" t="s">
        <v>174</v>
      </c>
      <c r="I90" s="4" t="s">
        <v>158</v>
      </c>
      <c r="J90" s="4" t="n">
        <v>1</v>
      </c>
      <c r="K90" s="5" t="s">
        <v>78</v>
      </c>
      <c r="L90" s="4" t="s">
        <v>448</v>
      </c>
    </row>
  </sheetData>
  <autoFilter ref="A1:L90"/>
  <dataValidations count="3">
    <dataValidation allowBlank="true" errorStyle="stop" operator="between" showDropDown="false" showErrorMessage="false" showInputMessage="false" sqref="J2:J500" type="list">
      <formula1>"1,2,3"</formula1>
      <formula2>0</formula2>
    </dataValidation>
    <dataValidation allowBlank="true" errorStyle="stop" operator="between" showDropDown="false" showErrorMessage="false" showInputMessage="false" sqref="K2:K500" type="list">
      <formula1>"да,проверить"</formula1>
      <formula2>0</formula2>
    </dataValidation>
    <dataValidation allowBlank="true" errorStyle="stop" operator="between" showDropDown="false" showErrorMessage="false" showInputMessage="false" sqref="G2:G500" type="list">
      <formula1>"Центр,30 мин,Час,Центр + 30 мин,Центр + час,30 мин + час"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6" t="s">
        <v>11</v>
      </c>
      <c r="B1" s="6" t="s">
        <v>449</v>
      </c>
      <c r="C1" s="6" t="s">
        <v>450</v>
      </c>
      <c r="D1" s="6" t="s">
        <v>20</v>
      </c>
      <c r="E1" s="6" t="s">
        <v>451</v>
      </c>
    </row>
    <row r="2" customFormat="false" ht="15" hidden="false" customHeight="false" outlineLevel="0" collapsed="false">
      <c r="A2" s="7" t="s">
        <v>23</v>
      </c>
      <c r="B2" s="7" t="n">
        <f aca="false">COUNTIF(Источники!$B$2:$B$90,A2)</f>
        <v>10</v>
      </c>
      <c r="C2" s="7" t="n">
        <f aca="false">COUNTIFS(Источники!$B$2:$B$90,A2,Источники!$J$2:$J$90,1)</f>
        <v>7</v>
      </c>
      <c r="D2" s="7" t="n">
        <f aca="false">COUNTIFS(Источники!$B$2:$B$90,A2,Источники!$K$2:$K$90,"да")</f>
        <v>9</v>
      </c>
      <c r="E2" s="7" t="n">
        <f aca="false">B2-D2</f>
        <v>1</v>
      </c>
    </row>
    <row r="3" customFormat="false" ht="15" hidden="false" customHeight="false" outlineLevel="0" collapsed="false">
      <c r="A3" s="7" t="s">
        <v>93</v>
      </c>
      <c r="B3" s="7" t="n">
        <f aca="false">COUNTIF(Источники!$B$2:$B$90,A3)</f>
        <v>7</v>
      </c>
      <c r="C3" s="7" t="n">
        <f aca="false">COUNTIFS(Источники!$B$2:$B$90,A3,Источники!$J$2:$J$90,1)</f>
        <v>2</v>
      </c>
      <c r="D3" s="7" t="n">
        <f aca="false">COUNTIFS(Источники!$B$2:$B$90,A3,Источники!$K$2:$K$90,"да")</f>
        <v>1</v>
      </c>
      <c r="E3" s="7" t="n">
        <f aca="false">B3-D3</f>
        <v>6</v>
      </c>
    </row>
    <row r="4" customFormat="false" ht="15" hidden="false" customHeight="false" outlineLevel="0" collapsed="false">
      <c r="A4" s="7" t="s">
        <v>124</v>
      </c>
      <c r="B4" s="7" t="n">
        <f aca="false">COUNTIF(Источники!$B$2:$B$90,A4)</f>
        <v>11</v>
      </c>
      <c r="C4" s="7" t="n">
        <f aca="false">COUNTIFS(Источники!$B$2:$B$90,A4,Источники!$J$2:$J$90,1)</f>
        <v>3</v>
      </c>
      <c r="D4" s="7" t="n">
        <f aca="false">COUNTIFS(Источники!$B$2:$B$90,A4,Источники!$K$2:$K$90,"да")</f>
        <v>2</v>
      </c>
      <c r="E4" s="7" t="n">
        <f aca="false">B4-D4</f>
        <v>9</v>
      </c>
    </row>
    <row r="5" customFormat="false" ht="15" hidden="false" customHeight="false" outlineLevel="0" collapsed="false">
      <c r="A5" s="7" t="s">
        <v>160</v>
      </c>
      <c r="B5" s="7" t="n">
        <f aca="false">COUNTIF(Источники!$B$2:$B$90,A5)</f>
        <v>6</v>
      </c>
      <c r="C5" s="7" t="n">
        <f aca="false">COUNTIFS(Источники!$B$2:$B$90,A5,Источники!$J$2:$J$90,1)</f>
        <v>3</v>
      </c>
      <c r="D5" s="7" t="n">
        <f aca="false">COUNTIFS(Источники!$B$2:$B$90,A5,Источники!$K$2:$K$90,"да")</f>
        <v>3</v>
      </c>
      <c r="E5" s="7" t="n">
        <f aca="false">B5-D5</f>
        <v>3</v>
      </c>
    </row>
    <row r="6" customFormat="false" ht="15" hidden="false" customHeight="false" outlineLevel="0" collapsed="false">
      <c r="A6" s="7" t="s">
        <v>182</v>
      </c>
      <c r="B6" s="7" t="n">
        <f aca="false">COUNTIF(Источники!$B$2:$B$90,A6)</f>
        <v>10</v>
      </c>
      <c r="C6" s="7" t="n">
        <f aca="false">COUNTIFS(Источники!$B$2:$B$90,A6,Источники!$J$2:$J$90,1)</f>
        <v>5</v>
      </c>
      <c r="D6" s="7" t="n">
        <f aca="false">COUNTIFS(Источники!$B$2:$B$90,A6,Источники!$K$2:$K$90,"да")</f>
        <v>2</v>
      </c>
      <c r="E6" s="7" t="n">
        <f aca="false">B6-D6</f>
        <v>8</v>
      </c>
    </row>
    <row r="7" customFormat="false" ht="15" hidden="false" customHeight="false" outlineLevel="0" collapsed="false">
      <c r="A7" s="7" t="s">
        <v>214</v>
      </c>
      <c r="B7" s="7" t="n">
        <f aca="false">COUNTIF(Источники!$B$2:$B$90,A7)</f>
        <v>3</v>
      </c>
      <c r="C7" s="7" t="n">
        <f aca="false">COUNTIFS(Источники!$B$2:$B$90,A7,Источники!$J$2:$J$90,1)</f>
        <v>2</v>
      </c>
      <c r="D7" s="7" t="n">
        <f aca="false">COUNTIFS(Источники!$B$2:$B$90,A7,Источники!$K$2:$K$90,"да")</f>
        <v>1</v>
      </c>
      <c r="E7" s="7" t="n">
        <f aca="false">B7-D7</f>
        <v>2</v>
      </c>
    </row>
    <row r="8" customFormat="false" ht="15" hidden="false" customHeight="false" outlineLevel="0" collapsed="false">
      <c r="A8" s="7" t="s">
        <v>231</v>
      </c>
      <c r="B8" s="7" t="n">
        <f aca="false">COUNTIF(Источники!$B$2:$B$90,A8)</f>
        <v>4</v>
      </c>
      <c r="C8" s="7" t="n">
        <f aca="false">COUNTIFS(Источники!$B$2:$B$90,A8,Источники!$J$2:$J$90,1)</f>
        <v>2</v>
      </c>
      <c r="D8" s="7" t="n">
        <f aca="false">COUNTIFS(Источники!$B$2:$B$90,A8,Источники!$K$2:$K$90,"да")</f>
        <v>0</v>
      </c>
      <c r="E8" s="7" t="n">
        <f aca="false">B8-D8</f>
        <v>4</v>
      </c>
    </row>
    <row r="9" customFormat="false" ht="15" hidden="false" customHeight="false" outlineLevel="0" collapsed="false">
      <c r="A9" s="7" t="s">
        <v>246</v>
      </c>
      <c r="B9" s="7" t="n">
        <f aca="false">COUNTIF(Источники!$B$2:$B$90,A9)</f>
        <v>2</v>
      </c>
      <c r="C9" s="7" t="n">
        <f aca="false">COUNTIFS(Источники!$B$2:$B$90,A9,Источники!$J$2:$J$90,1)</f>
        <v>1</v>
      </c>
      <c r="D9" s="7" t="n">
        <f aca="false">COUNTIFS(Источники!$B$2:$B$90,A9,Источники!$K$2:$K$90,"да")</f>
        <v>0</v>
      </c>
      <c r="E9" s="7" t="n">
        <f aca="false">B9-D9</f>
        <v>2</v>
      </c>
    </row>
    <row r="10" customFormat="false" ht="15" hidden="false" customHeight="false" outlineLevel="0" collapsed="false">
      <c r="A10" s="7" t="s">
        <v>254</v>
      </c>
      <c r="B10" s="7" t="n">
        <f aca="false">COUNTIF(Источники!$B$2:$B$90,A10)</f>
        <v>3</v>
      </c>
      <c r="C10" s="7" t="n">
        <f aca="false">COUNTIFS(Источники!$B$2:$B$90,A10,Источники!$J$2:$J$90,1)</f>
        <v>2</v>
      </c>
      <c r="D10" s="7" t="n">
        <f aca="false">COUNTIFS(Источники!$B$2:$B$90,A10,Источники!$K$2:$K$90,"да")</f>
        <v>2</v>
      </c>
      <c r="E10" s="7" t="n">
        <f aca="false">B10-D10</f>
        <v>1</v>
      </c>
    </row>
    <row r="11" customFormat="false" ht="15" hidden="false" customHeight="false" outlineLevel="0" collapsed="false">
      <c r="A11" s="7" t="s">
        <v>271</v>
      </c>
      <c r="B11" s="7" t="n">
        <f aca="false">COUNTIF(Источники!$B$2:$B$90,A11)</f>
        <v>4</v>
      </c>
      <c r="C11" s="7" t="n">
        <f aca="false">COUNTIFS(Источники!$B$2:$B$90,A11,Источники!$J$2:$J$90,1)</f>
        <v>3</v>
      </c>
      <c r="D11" s="7" t="n">
        <f aca="false">COUNTIFS(Источники!$B$2:$B$90,A11,Источники!$K$2:$K$90,"да")</f>
        <v>0</v>
      </c>
      <c r="E11" s="7" t="n">
        <f aca="false">B11-D11</f>
        <v>4</v>
      </c>
    </row>
    <row r="12" customFormat="false" ht="15" hidden="false" customHeight="false" outlineLevel="0" collapsed="false">
      <c r="A12" s="7" t="s">
        <v>284</v>
      </c>
      <c r="B12" s="7" t="n">
        <f aca="false">COUNTIF(Источники!$B$2:$B$90,A12)</f>
        <v>3</v>
      </c>
      <c r="C12" s="7" t="n">
        <f aca="false">COUNTIFS(Источники!$B$2:$B$90,A12,Источники!$J$2:$J$90,1)</f>
        <v>1</v>
      </c>
      <c r="D12" s="7" t="n">
        <f aca="false">COUNTIFS(Источники!$B$2:$B$90,A12,Источники!$K$2:$K$90,"да")</f>
        <v>0</v>
      </c>
      <c r="E12" s="7" t="n">
        <f aca="false">B12-D12</f>
        <v>3</v>
      </c>
    </row>
    <row r="13" customFormat="false" ht="15" hidden="false" customHeight="false" outlineLevel="0" collapsed="false">
      <c r="A13" s="7" t="s">
        <v>296</v>
      </c>
      <c r="B13" s="7" t="n">
        <f aca="false">COUNTIF(Источники!$B$2:$B$90,A13)</f>
        <v>3</v>
      </c>
      <c r="C13" s="7" t="n">
        <f aca="false">COUNTIFS(Источники!$B$2:$B$90,A13,Источники!$J$2:$J$90,1)</f>
        <v>1</v>
      </c>
      <c r="D13" s="7" t="n">
        <f aca="false">COUNTIFS(Источники!$B$2:$B$90,A13,Источники!$K$2:$K$90,"да")</f>
        <v>1</v>
      </c>
      <c r="E13" s="7" t="n">
        <f aca="false">B13-D13</f>
        <v>2</v>
      </c>
    </row>
    <row r="14" customFormat="false" ht="15" hidden="false" customHeight="false" outlineLevel="0" collapsed="false">
      <c r="A14" s="7" t="s">
        <v>305</v>
      </c>
      <c r="B14" s="7" t="n">
        <f aca="false">COUNTIF(Источники!$B$2:$B$90,A14)</f>
        <v>3</v>
      </c>
      <c r="C14" s="7" t="n">
        <f aca="false">COUNTIFS(Источники!$B$2:$B$90,A14,Источники!$J$2:$J$90,1)</f>
        <v>0</v>
      </c>
      <c r="D14" s="7" t="n">
        <f aca="false">COUNTIFS(Источники!$B$2:$B$90,A14,Источники!$K$2:$K$90,"да")</f>
        <v>0</v>
      </c>
      <c r="E14" s="7" t="n">
        <f aca="false">B14-D14</f>
        <v>3</v>
      </c>
    </row>
    <row r="15" customFormat="false" ht="15" hidden="false" customHeight="false" outlineLevel="0" collapsed="false">
      <c r="A15" s="7" t="s">
        <v>319</v>
      </c>
      <c r="B15" s="7" t="n">
        <f aca="false">COUNTIF(Источники!$B$2:$B$90,A15)</f>
        <v>1</v>
      </c>
      <c r="C15" s="7" t="n">
        <f aca="false">COUNTIFS(Источники!$B$2:$B$90,A15,Источники!$J$2:$J$90,1)</f>
        <v>1</v>
      </c>
      <c r="D15" s="7" t="n">
        <f aca="false">COUNTIFS(Источники!$B$2:$B$90,A15,Источники!$K$2:$K$90,"да")</f>
        <v>0</v>
      </c>
      <c r="E15" s="7" t="n">
        <f aca="false">B15-D15</f>
        <v>1</v>
      </c>
    </row>
    <row r="16" customFormat="false" ht="15" hidden="false" customHeight="false" outlineLevel="0" collapsed="false">
      <c r="A16" s="7" t="s">
        <v>324</v>
      </c>
      <c r="B16" s="7" t="n">
        <f aca="false">COUNTIF(Источники!$B$2:$B$90,A16)</f>
        <v>2</v>
      </c>
      <c r="C16" s="7" t="n">
        <f aca="false">COUNTIFS(Источники!$B$2:$B$90,A16,Источники!$J$2:$J$90,1)</f>
        <v>0</v>
      </c>
      <c r="D16" s="7" t="n">
        <f aca="false">COUNTIFS(Источники!$B$2:$B$90,A16,Источники!$K$2:$K$90,"да")</f>
        <v>0</v>
      </c>
      <c r="E16" s="7" t="n">
        <f aca="false">B16-D16</f>
        <v>2</v>
      </c>
    </row>
    <row r="17" customFormat="false" ht="15" hidden="false" customHeight="false" outlineLevel="0" collapsed="false">
      <c r="A17" s="7" t="s">
        <v>334</v>
      </c>
      <c r="B17" s="7" t="n">
        <f aca="false">COUNTIF(Источники!$B$2:$B$90,A17)</f>
        <v>4</v>
      </c>
      <c r="C17" s="7" t="n">
        <f aca="false">COUNTIFS(Источники!$B$2:$B$90,A17,Источники!$J$2:$J$90,1)</f>
        <v>1</v>
      </c>
      <c r="D17" s="7" t="n">
        <f aca="false">COUNTIFS(Источники!$B$2:$B$90,A17,Источники!$K$2:$K$90,"да")</f>
        <v>0</v>
      </c>
      <c r="E17" s="7" t="n">
        <f aca="false">B17-D17</f>
        <v>4</v>
      </c>
    </row>
    <row r="18" customFormat="false" ht="15" hidden="false" customHeight="false" outlineLevel="0" collapsed="false">
      <c r="A18" s="7" t="s">
        <v>350</v>
      </c>
      <c r="B18" s="7" t="n">
        <f aca="false">COUNTIF(Источники!$B$2:$B$90,A18)</f>
        <v>3</v>
      </c>
      <c r="C18" s="7" t="n">
        <f aca="false">COUNTIFS(Источники!$B$2:$B$90,A18,Источники!$J$2:$J$90,1)</f>
        <v>2</v>
      </c>
      <c r="D18" s="7" t="n">
        <f aca="false">COUNTIFS(Источники!$B$2:$B$90,A18,Источники!$K$2:$K$90,"да")</f>
        <v>0</v>
      </c>
      <c r="E18" s="7" t="n">
        <f aca="false">B18-D18</f>
        <v>3</v>
      </c>
    </row>
    <row r="19" customFormat="false" ht="15" hidden="false" customHeight="false" outlineLevel="0" collapsed="false">
      <c r="A19" s="7" t="s">
        <v>362</v>
      </c>
      <c r="B19" s="7" t="n">
        <f aca="false">COUNTIF(Источники!$B$2:$B$90,A19)</f>
        <v>2</v>
      </c>
      <c r="C19" s="7" t="n">
        <f aca="false">COUNTIFS(Источники!$B$2:$B$90,A19,Источники!$J$2:$J$90,1)</f>
        <v>1</v>
      </c>
      <c r="D19" s="7" t="n">
        <f aca="false">COUNTIFS(Источники!$B$2:$B$90,A19,Источники!$K$2:$K$90,"да")</f>
        <v>1</v>
      </c>
      <c r="E19" s="7" t="n">
        <f aca="false">B19-D19</f>
        <v>1</v>
      </c>
    </row>
    <row r="20" customFormat="false" ht="15" hidden="false" customHeight="false" outlineLevel="0" collapsed="false">
      <c r="A20" s="7" t="s">
        <v>373</v>
      </c>
      <c r="B20" s="7" t="n">
        <f aca="false">COUNTIF(Источники!$B$2:$B$90,A20)</f>
        <v>2</v>
      </c>
      <c r="C20" s="7" t="n">
        <f aca="false">COUNTIFS(Источники!$B$2:$B$90,A20,Источники!$J$2:$J$90,1)</f>
        <v>0</v>
      </c>
      <c r="D20" s="7" t="n">
        <f aca="false">COUNTIFS(Источники!$B$2:$B$90,A20,Источники!$K$2:$K$90,"да")</f>
        <v>0</v>
      </c>
      <c r="E20" s="7" t="n">
        <f aca="false">B20-D20</f>
        <v>2</v>
      </c>
    </row>
    <row r="21" customFormat="false" ht="15" hidden="false" customHeight="false" outlineLevel="0" collapsed="false">
      <c r="A21" s="7" t="s">
        <v>381</v>
      </c>
      <c r="B21" s="7" t="n">
        <f aca="false">COUNTIF(Источники!$B$2:$B$90,A21)</f>
        <v>3</v>
      </c>
      <c r="C21" s="7" t="n">
        <f aca="false">COUNTIFS(Источники!$B$2:$B$90,A21,Источники!$J$2:$J$90,1)</f>
        <v>0</v>
      </c>
      <c r="D21" s="7" t="n">
        <f aca="false">COUNTIFS(Источники!$B$2:$B$90,A21,Источники!$K$2:$K$90,"да")</f>
        <v>2</v>
      </c>
      <c r="E21" s="7" t="n">
        <f aca="false">B21-D21</f>
        <v>1</v>
      </c>
    </row>
    <row r="22" customFormat="false" ht="15" hidden="false" customHeight="false" outlineLevel="0" collapsed="false">
      <c r="A22" s="7" t="s">
        <v>392</v>
      </c>
      <c r="B22" s="7" t="n">
        <f aca="false">COUNTIF(Источники!$B$2:$B$90,A22)</f>
        <v>3</v>
      </c>
      <c r="C22" s="7" t="n">
        <f aca="false">COUNTIFS(Источники!$B$2:$B$90,A22,Источники!$J$2:$J$90,1)</f>
        <v>0</v>
      </c>
      <c r="D22" s="7" t="n">
        <f aca="false">COUNTIFS(Источники!$B$2:$B$90,A22,Источники!$K$2:$K$90,"да")</f>
        <v>0</v>
      </c>
      <c r="E22" s="7" t="n">
        <f aca="false">B22-D22</f>
        <v>3</v>
      </c>
    </row>
    <row r="23" customFormat="false" ht="15" hidden="false" customHeight="false" outlineLevel="0" collapsed="false">
      <c r="A23" s="8" t="s">
        <v>452</v>
      </c>
      <c r="B23" s="8" t="n">
        <f aca="false">SUM(B2:B22)</f>
        <v>89</v>
      </c>
      <c r="C23" s="8" t="n">
        <f aca="false">SUM(C2:C22)</f>
        <v>37</v>
      </c>
      <c r="D23" s="8" t="n">
        <f aca="false">SUM(D2:D22)</f>
        <v>24</v>
      </c>
      <c r="E23" s="8" t="n">
        <f aca="false">SUM(E2:E22)</f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6" t="s">
        <v>453</v>
      </c>
      <c r="B1" s="6" t="s">
        <v>454</v>
      </c>
      <c r="C1" s="6" t="s">
        <v>455</v>
      </c>
      <c r="D1" s="6" t="s">
        <v>456</v>
      </c>
      <c r="E1" s="6" t="s">
        <v>457</v>
      </c>
    </row>
    <row r="2" customFormat="false" ht="15" hidden="false" customHeight="false" outlineLevel="0" collapsed="false">
      <c r="A2" s="9" t="s">
        <v>458</v>
      </c>
      <c r="B2" s="9" t="s">
        <v>459</v>
      </c>
      <c r="C2" s="9" t="s">
        <v>31</v>
      </c>
      <c r="D2" s="9" t="s">
        <v>460</v>
      </c>
      <c r="E2" s="9" t="s">
        <v>461</v>
      </c>
    </row>
    <row r="3" customFormat="false" ht="15" hidden="false" customHeight="false" outlineLevel="0" collapsed="false">
      <c r="A3" s="9" t="s">
        <v>462</v>
      </c>
      <c r="B3" s="9" t="s">
        <v>459</v>
      </c>
      <c r="C3" s="9" t="s">
        <v>31</v>
      </c>
      <c r="D3" s="9" t="s">
        <v>463</v>
      </c>
      <c r="E3" s="9"/>
    </row>
    <row r="4" customFormat="false" ht="15" hidden="false" customHeight="false" outlineLevel="0" collapsed="false">
      <c r="A4" s="9" t="s">
        <v>464</v>
      </c>
      <c r="B4" s="9" t="s">
        <v>465</v>
      </c>
      <c r="C4" s="9" t="s">
        <v>31</v>
      </c>
      <c r="D4" s="9" t="s">
        <v>124</v>
      </c>
      <c r="E4" s="9" t="s">
        <v>466</v>
      </c>
    </row>
    <row r="5" customFormat="false" ht="15" hidden="false" customHeight="false" outlineLevel="0" collapsed="false">
      <c r="A5" s="9" t="s">
        <v>467</v>
      </c>
      <c r="B5" s="9" t="s">
        <v>468</v>
      </c>
      <c r="C5" s="9" t="s">
        <v>31</v>
      </c>
      <c r="D5" s="9" t="s">
        <v>469</v>
      </c>
      <c r="E5" s="9"/>
    </row>
    <row r="6" customFormat="false" ht="15" hidden="false" customHeight="false" outlineLevel="0" collapsed="false">
      <c r="A6" s="9" t="s">
        <v>470</v>
      </c>
      <c r="B6" s="9" t="s">
        <v>471</v>
      </c>
      <c r="C6" s="9" t="s">
        <v>472</v>
      </c>
      <c r="D6" s="9" t="s">
        <v>473</v>
      </c>
      <c r="E6" s="9" t="s">
        <v>474</v>
      </c>
    </row>
    <row r="7" customFormat="false" ht="15" hidden="false" customHeight="false" outlineLevel="0" collapsed="false">
      <c r="A7" s="9" t="s">
        <v>475</v>
      </c>
      <c r="B7" s="9" t="s">
        <v>468</v>
      </c>
      <c r="C7" s="9" t="s">
        <v>476</v>
      </c>
      <c r="D7" s="9" t="s">
        <v>469</v>
      </c>
      <c r="E7" s="9" t="s">
        <v>477</v>
      </c>
    </row>
    <row r="8" customFormat="false" ht="15" hidden="false" customHeight="false" outlineLevel="0" collapsed="false">
      <c r="A8" s="9" t="s">
        <v>478</v>
      </c>
      <c r="B8" s="9" t="s">
        <v>471</v>
      </c>
      <c r="C8" s="9" t="s">
        <v>476</v>
      </c>
      <c r="D8" s="9" t="s">
        <v>479</v>
      </c>
      <c r="E8" s="9"/>
    </row>
    <row r="9" customFormat="false" ht="15" hidden="false" customHeight="false" outlineLevel="0" collapsed="false">
      <c r="A9" s="9" t="s">
        <v>480</v>
      </c>
      <c r="B9" s="9" t="s">
        <v>459</v>
      </c>
      <c r="C9" s="9" t="s">
        <v>31</v>
      </c>
      <c r="D9" s="9" t="s">
        <v>481</v>
      </c>
      <c r="E9" s="9"/>
    </row>
    <row r="10" customFormat="false" ht="15" hidden="false" customHeight="false" outlineLevel="0" collapsed="false">
      <c r="A10" s="9" t="s">
        <v>482</v>
      </c>
      <c r="B10" s="9" t="s">
        <v>459</v>
      </c>
      <c r="C10" s="9" t="s">
        <v>31</v>
      </c>
      <c r="D10" s="9" t="s">
        <v>483</v>
      </c>
      <c r="E10" s="9" t="s">
        <v>484</v>
      </c>
    </row>
    <row r="11" customFormat="false" ht="15" hidden="false" customHeight="false" outlineLevel="0" collapsed="false">
      <c r="A11" s="9" t="s">
        <v>485</v>
      </c>
      <c r="B11" s="9" t="s">
        <v>459</v>
      </c>
      <c r="C11" s="9" t="s">
        <v>31</v>
      </c>
      <c r="D11" s="9" t="s">
        <v>486</v>
      </c>
      <c r="E11" s="9" t="s">
        <v>487</v>
      </c>
    </row>
    <row r="12" customFormat="false" ht="15" hidden="false" customHeight="false" outlineLevel="0" collapsed="false">
      <c r="A12" s="9" t="s">
        <v>488</v>
      </c>
      <c r="B12" s="9" t="s">
        <v>489</v>
      </c>
      <c r="C12" s="9" t="s">
        <v>476</v>
      </c>
      <c r="D12" s="9" t="s">
        <v>490</v>
      </c>
      <c r="E12" s="9" t="s">
        <v>491</v>
      </c>
    </row>
    <row r="13" customFormat="false" ht="15" hidden="false" customHeight="false" outlineLevel="0" collapsed="false">
      <c r="A13" s="9" t="s">
        <v>492</v>
      </c>
      <c r="B13" s="9" t="s">
        <v>465</v>
      </c>
      <c r="C13" s="9" t="s">
        <v>31</v>
      </c>
      <c r="D13" s="9" t="s">
        <v>28</v>
      </c>
      <c r="E13" s="9" t="s">
        <v>493</v>
      </c>
    </row>
    <row r="14" customFormat="false" ht="15" hidden="false" customHeight="false" outlineLevel="0" collapsed="false">
      <c r="A14" s="9" t="s">
        <v>494</v>
      </c>
      <c r="B14" s="9" t="s">
        <v>495</v>
      </c>
      <c r="C14" s="9" t="s">
        <v>476</v>
      </c>
      <c r="D14" s="9" t="s">
        <v>496</v>
      </c>
      <c r="E14" s="9" t="s">
        <v>497</v>
      </c>
    </row>
    <row r="15" customFormat="false" ht="15" hidden="false" customHeight="false" outlineLevel="0" collapsed="false">
      <c r="A15" s="9" t="s">
        <v>498</v>
      </c>
      <c r="B15" s="9" t="s">
        <v>465</v>
      </c>
      <c r="C15" s="9" t="s">
        <v>31</v>
      </c>
      <c r="D15" s="9" t="s">
        <v>499</v>
      </c>
      <c r="E15" s="9"/>
    </row>
    <row r="16" customFormat="false" ht="15" hidden="false" customHeight="false" outlineLevel="0" collapsed="false">
      <c r="A16" s="9" t="s">
        <v>500</v>
      </c>
      <c r="B16" s="9" t="s">
        <v>501</v>
      </c>
      <c r="C16" s="9" t="s">
        <v>476</v>
      </c>
      <c r="D16" s="9" t="s">
        <v>502</v>
      </c>
      <c r="E16" s="9"/>
    </row>
    <row r="17" customFormat="false" ht="23.85" hidden="false" customHeight="false" outlineLevel="0" collapsed="false">
      <c r="A17" s="9" t="s">
        <v>503</v>
      </c>
      <c r="B17" s="9" t="s">
        <v>465</v>
      </c>
      <c r="C17" s="9" t="s">
        <v>31</v>
      </c>
      <c r="D17" s="9" t="s">
        <v>504</v>
      </c>
      <c r="E17" s="9"/>
    </row>
    <row r="18" customFormat="false" ht="15" hidden="false" customHeight="false" outlineLevel="0" collapsed="false">
      <c r="A18" s="9" t="s">
        <v>505</v>
      </c>
      <c r="B18" s="9" t="s">
        <v>465</v>
      </c>
      <c r="C18" s="9" t="s">
        <v>31</v>
      </c>
      <c r="D18" s="9" t="s">
        <v>506</v>
      </c>
      <c r="E18" s="9" t="s">
        <v>507</v>
      </c>
    </row>
    <row r="19" customFormat="false" ht="15" hidden="false" customHeight="false" outlineLevel="0" collapsed="false">
      <c r="A19" s="9" t="s">
        <v>508</v>
      </c>
      <c r="B19" s="9" t="s">
        <v>14</v>
      </c>
      <c r="C19" s="9" t="s">
        <v>476</v>
      </c>
      <c r="D19" s="9"/>
      <c r="E19" s="9" t="s">
        <v>509</v>
      </c>
    </row>
    <row r="20" customFormat="false" ht="15" hidden="false" customHeight="false" outlineLevel="0" collapsed="false">
      <c r="A20" s="9" t="s">
        <v>510</v>
      </c>
      <c r="B20" s="9" t="s">
        <v>511</v>
      </c>
      <c r="C20" s="9" t="s">
        <v>31</v>
      </c>
      <c r="D20" s="9" t="s">
        <v>123</v>
      </c>
      <c r="E20" s="9" t="s">
        <v>512</v>
      </c>
    </row>
    <row r="21" customFormat="false" ht="15" hidden="false" customHeight="false" outlineLevel="0" collapsed="false">
      <c r="A21" s="9" t="s">
        <v>513</v>
      </c>
      <c r="B21" s="9" t="s">
        <v>14</v>
      </c>
      <c r="C21" s="9" t="s">
        <v>31</v>
      </c>
      <c r="D21" s="9"/>
      <c r="E21" s="9" t="s">
        <v>514</v>
      </c>
    </row>
    <row r="22" customFormat="false" ht="15" hidden="false" customHeight="false" outlineLevel="0" collapsed="false">
      <c r="A22" s="9" t="s">
        <v>515</v>
      </c>
      <c r="B22" s="9" t="s">
        <v>459</v>
      </c>
      <c r="C22" s="9" t="s">
        <v>31</v>
      </c>
      <c r="D22" s="9"/>
      <c r="E22" s="9" t="s">
        <v>516</v>
      </c>
    </row>
    <row r="23" customFormat="false" ht="15" hidden="false" customHeight="false" outlineLevel="0" collapsed="false">
      <c r="A23" s="9" t="s">
        <v>517</v>
      </c>
      <c r="B23" s="9" t="s">
        <v>518</v>
      </c>
      <c r="C23" s="9" t="s">
        <v>476</v>
      </c>
      <c r="D23" s="9" t="s">
        <v>519</v>
      </c>
      <c r="E23" s="9" t="s">
        <v>520</v>
      </c>
    </row>
    <row r="24" customFormat="false" ht="15" hidden="false" customHeight="false" outlineLevel="0" collapsed="false">
      <c r="A24" s="9" t="s">
        <v>521</v>
      </c>
      <c r="B24" s="9" t="s">
        <v>522</v>
      </c>
      <c r="C24" s="9" t="s">
        <v>31</v>
      </c>
      <c r="D24" s="9"/>
      <c r="E24" s="9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</cols>
  <sheetData>
    <row r="1" customFormat="false" ht="15" hidden="false" customHeight="false" outlineLevel="0" collapsed="false">
      <c r="A1" s="6" t="s">
        <v>524</v>
      </c>
      <c r="B1" s="6" t="s">
        <v>525</v>
      </c>
    </row>
    <row r="2" customFormat="false" ht="15" hidden="false" customHeight="false" outlineLevel="0" collapsed="false">
      <c r="A2" s="7" t="s">
        <v>11</v>
      </c>
      <c r="B2" s="7" t="s">
        <v>93</v>
      </c>
    </row>
    <row r="3" customFormat="false" ht="15" hidden="false" customHeight="false" outlineLevel="0" collapsed="false">
      <c r="A3" s="7" t="s">
        <v>11</v>
      </c>
      <c r="B3" s="7" t="s">
        <v>124</v>
      </c>
    </row>
    <row r="4" customFormat="false" ht="15" hidden="false" customHeight="false" outlineLevel="0" collapsed="false">
      <c r="A4" s="7" t="s">
        <v>11</v>
      </c>
      <c r="B4" s="7" t="s">
        <v>160</v>
      </c>
    </row>
    <row r="5" customFormat="false" ht="15" hidden="false" customHeight="false" outlineLevel="0" collapsed="false">
      <c r="A5" s="7" t="s">
        <v>11</v>
      </c>
      <c r="B5" s="7" t="s">
        <v>182</v>
      </c>
    </row>
    <row r="6" customFormat="false" ht="15" hidden="false" customHeight="false" outlineLevel="0" collapsed="false">
      <c r="A6" s="7" t="s">
        <v>11</v>
      </c>
      <c r="B6" s="7" t="s">
        <v>214</v>
      </c>
    </row>
    <row r="7" customFormat="false" ht="15" hidden="false" customHeight="false" outlineLevel="0" collapsed="false">
      <c r="A7" s="7" t="s">
        <v>11</v>
      </c>
      <c r="B7" s="7" t="s">
        <v>231</v>
      </c>
    </row>
    <row r="8" customFormat="false" ht="15" hidden="false" customHeight="false" outlineLevel="0" collapsed="false">
      <c r="A8" s="7" t="s">
        <v>11</v>
      </c>
      <c r="B8" s="7" t="s">
        <v>246</v>
      </c>
    </row>
    <row r="9" customFormat="false" ht="15" hidden="false" customHeight="false" outlineLevel="0" collapsed="false">
      <c r="A9" s="7" t="s">
        <v>11</v>
      </c>
      <c r="B9" s="7" t="s">
        <v>254</v>
      </c>
    </row>
    <row r="10" customFormat="false" ht="15" hidden="false" customHeight="false" outlineLevel="0" collapsed="false">
      <c r="A10" s="7" t="s">
        <v>11</v>
      </c>
      <c r="B10" s="7" t="s">
        <v>271</v>
      </c>
    </row>
    <row r="11" customFormat="false" ht="15" hidden="false" customHeight="false" outlineLevel="0" collapsed="false">
      <c r="A11" s="7" t="s">
        <v>11</v>
      </c>
      <c r="B11" s="7" t="s">
        <v>284</v>
      </c>
    </row>
    <row r="12" customFormat="false" ht="15" hidden="false" customHeight="false" outlineLevel="0" collapsed="false">
      <c r="A12" s="7" t="s">
        <v>11</v>
      </c>
      <c r="B12" s="7" t="s">
        <v>296</v>
      </c>
    </row>
    <row r="13" customFormat="false" ht="15" hidden="false" customHeight="false" outlineLevel="0" collapsed="false">
      <c r="A13" s="7" t="s">
        <v>11</v>
      </c>
      <c r="B13" s="7" t="s">
        <v>305</v>
      </c>
    </row>
    <row r="14" customFormat="false" ht="15" hidden="false" customHeight="false" outlineLevel="0" collapsed="false">
      <c r="A14" s="7" t="s">
        <v>11</v>
      </c>
      <c r="B14" s="7" t="s">
        <v>319</v>
      </c>
    </row>
    <row r="15" customFormat="false" ht="15" hidden="false" customHeight="false" outlineLevel="0" collapsed="false">
      <c r="A15" s="7" t="s">
        <v>11</v>
      </c>
      <c r="B15" s="7" t="s">
        <v>324</v>
      </c>
    </row>
    <row r="16" customFormat="false" ht="15" hidden="false" customHeight="false" outlineLevel="0" collapsed="false">
      <c r="A16" s="7" t="s">
        <v>11</v>
      </c>
      <c r="B16" s="7" t="s">
        <v>334</v>
      </c>
    </row>
    <row r="17" customFormat="false" ht="15" hidden="false" customHeight="false" outlineLevel="0" collapsed="false">
      <c r="A17" s="7" t="s">
        <v>11</v>
      </c>
      <c r="B17" s="7" t="s">
        <v>350</v>
      </c>
    </row>
    <row r="18" customFormat="false" ht="15" hidden="false" customHeight="false" outlineLevel="0" collapsed="false">
      <c r="A18" s="7" t="s">
        <v>11</v>
      </c>
      <c r="B18" s="7" t="s">
        <v>362</v>
      </c>
    </row>
    <row r="19" customFormat="false" ht="15" hidden="false" customHeight="false" outlineLevel="0" collapsed="false">
      <c r="A19" s="7" t="s">
        <v>11</v>
      </c>
      <c r="B19" s="7" t="s">
        <v>373</v>
      </c>
    </row>
    <row r="20" customFormat="false" ht="15" hidden="false" customHeight="false" outlineLevel="0" collapsed="false">
      <c r="A20" s="7" t="s">
        <v>11</v>
      </c>
      <c r="B20" s="7" t="s">
        <v>381</v>
      </c>
    </row>
    <row r="21" customFormat="false" ht="15" hidden="false" customHeight="false" outlineLevel="0" collapsed="false">
      <c r="A21" s="7" t="s">
        <v>11</v>
      </c>
      <c r="B21" s="7" t="s">
        <v>392</v>
      </c>
    </row>
    <row r="22" customFormat="false" ht="15" hidden="false" customHeight="false" outlineLevel="0" collapsed="false">
      <c r="A22" s="7" t="s">
        <v>526</v>
      </c>
      <c r="B22" s="7" t="s">
        <v>527</v>
      </c>
    </row>
    <row r="23" customFormat="false" ht="15" hidden="false" customHeight="false" outlineLevel="0" collapsed="false">
      <c r="A23" s="7" t="s">
        <v>526</v>
      </c>
      <c r="B23" s="7" t="s">
        <v>528</v>
      </c>
    </row>
    <row r="24" customFormat="false" ht="15" hidden="false" customHeight="false" outlineLevel="0" collapsed="false">
      <c r="A24" s="7" t="s">
        <v>526</v>
      </c>
      <c r="B24" s="7" t="s">
        <v>529</v>
      </c>
    </row>
    <row r="25" customFormat="false" ht="15" hidden="false" customHeight="false" outlineLevel="0" collapsed="false">
      <c r="A25" s="7" t="s">
        <v>526</v>
      </c>
      <c r="B25" s="7" t="s">
        <v>530</v>
      </c>
    </row>
    <row r="26" customFormat="false" ht="15" hidden="false" customHeight="false" outlineLevel="0" collapsed="false">
      <c r="A26" s="7" t="s">
        <v>526</v>
      </c>
      <c r="B26" s="7" t="s">
        <v>531</v>
      </c>
    </row>
    <row r="27" customFormat="false" ht="15" hidden="false" customHeight="false" outlineLevel="0" collapsed="false">
      <c r="A27" s="7" t="s">
        <v>532</v>
      </c>
      <c r="B27" s="7" t="s">
        <v>533</v>
      </c>
    </row>
    <row r="28" customFormat="false" ht="15" hidden="false" customHeight="false" outlineLevel="0" collapsed="false">
      <c r="A28" s="7" t="s">
        <v>532</v>
      </c>
      <c r="B28" s="7" t="s">
        <v>534</v>
      </c>
    </row>
    <row r="29" customFormat="false" ht="15" hidden="false" customHeight="false" outlineLevel="0" collapsed="false">
      <c r="A29" s="7" t="s">
        <v>532</v>
      </c>
      <c r="B29" s="7" t="s">
        <v>535</v>
      </c>
    </row>
    <row r="30" customFormat="false" ht="15" hidden="false" customHeight="false" outlineLevel="0" collapsed="false">
      <c r="A30" s="7" t="s">
        <v>16</v>
      </c>
      <c r="B30" s="7" t="s">
        <v>28</v>
      </c>
    </row>
    <row r="31" customFormat="false" ht="15" hidden="false" customHeight="false" outlineLevel="0" collapsed="false">
      <c r="A31" s="7" t="s">
        <v>16</v>
      </c>
      <c r="B31" s="7" t="s">
        <v>536</v>
      </c>
    </row>
    <row r="32" customFormat="false" ht="15" hidden="false" customHeight="false" outlineLevel="0" collapsed="false">
      <c r="A32" s="7" t="s">
        <v>16</v>
      </c>
      <c r="B32" s="7" t="s">
        <v>537</v>
      </c>
    </row>
    <row r="33" customFormat="false" ht="15" hidden="false" customHeight="false" outlineLevel="0" collapsed="false">
      <c r="A33" s="7" t="s">
        <v>538</v>
      </c>
      <c r="B33" s="7" t="s">
        <v>539</v>
      </c>
    </row>
    <row r="34" customFormat="false" ht="15" hidden="false" customHeight="false" outlineLevel="0" collapsed="false">
      <c r="A34" s="7" t="s">
        <v>538</v>
      </c>
      <c r="B34" s="7" t="s">
        <v>540</v>
      </c>
    </row>
    <row r="35" customFormat="false" ht="15" hidden="false" customHeight="false" outlineLevel="0" collapsed="false">
      <c r="A35" s="7" t="s">
        <v>538</v>
      </c>
      <c r="B35" s="7" t="s">
        <v>541</v>
      </c>
    </row>
    <row r="36" customFormat="false" ht="15" hidden="false" customHeight="false" outlineLevel="0" collapsed="false">
      <c r="A36" s="7" t="s">
        <v>542</v>
      </c>
      <c r="B36" s="7" t="s">
        <v>506</v>
      </c>
    </row>
    <row r="37" customFormat="false" ht="15" hidden="false" customHeight="false" outlineLevel="0" collapsed="false">
      <c r="A37" s="7" t="s">
        <v>542</v>
      </c>
      <c r="B37" s="7" t="s">
        <v>543</v>
      </c>
    </row>
    <row r="38" customFormat="false" ht="15" hidden="false" customHeight="false" outlineLevel="0" collapsed="false">
      <c r="A38" s="7" t="s">
        <v>542</v>
      </c>
      <c r="B38" s="7" t="s">
        <v>544</v>
      </c>
    </row>
    <row r="39" customFormat="false" ht="15" hidden="false" customHeight="false" outlineLevel="0" collapsed="false">
      <c r="A39" s="7" t="s">
        <v>542</v>
      </c>
      <c r="B39" s="7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2026-09-23T20:44:36Z</dcterms:created>
  <dc:creator>openpyxl</dc:creator>
  <dc:description/>
  <dc:language>en-US</dc:language>
  <cp:lastModifiedBy/>
  <dcterms:modified xsi:type="dcterms:W3CDTF">2026-09-23T20:44:37Z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