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Как пользоваться" sheetId="1" state="visible" r:id="rId1"/>
    <sheet name="Источники" sheetId="2" state="visible" r:id="rId2"/>
    <sheet name="Проверка P1" sheetId="3" state="visible" r:id="rId3"/>
    <sheet name="Контрольные события" sheetId="4" state="visible" r:id="rId4"/>
    <sheet name="Сводка" sheetId="5" state="visible" r:id="rId5"/>
    <sheet name="Схема события" sheetId="6" state="visible" r:id="rId6"/>
    <sheet name="Категории и теги" sheetId="7" state="visible" r:id="rId7"/>
    <sheet name="Проверка P2" sheetId="8" state="visible" r:id="rId8"/>
    <sheet name="Этап 6" sheetId="9" state="visible" r:id="rId9"/>
  </sheets>
  <definedNames>
    <definedName name="_xlnm._FilterDatabase" localSheetId="1" hidden="1">'Источники'!$A$1:$O$98</definedName>
    <definedName name="_xlnm._FilterDatabase" localSheetId="2" hidden="1">'Проверка P1'!$A$1:$G$47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b val="1"/>
      <color rgb="FFFFFFFF"/>
    </font>
    <font>
      <i val="1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8" fillId="4" borderId="0" applyAlignment="1" pivotButton="0" quotePrefix="0" xfId="0">
      <alignment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0" fillId="6" borderId="0" pivotButton="0" quotePrefix="0" xfId="0"/>
    <xf numFmtId="0" fontId="8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9" fillId="0" borderId="0" pivotButton="0" quotePrefix="0" xfId="0"/>
    <xf numFmtId="0" fontId="7" fillId="7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0" fillId="5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0" min="1" max="1"/>
  </cols>
  <sheetData>
    <row r="1" ht="15" customHeight="1" s="11">
      <c r="A1" s="12" t="inlineStr">
        <is>
          <t>Реестр источников событий — Кембридж и окрестности (v0.4, сентябрь 2026)</t>
        </is>
      </c>
    </row>
    <row r="2" ht="15" customHeight="1" s="11">
      <c r="A2" s="13" t="n"/>
    </row>
    <row r="3" ht="15" customHeight="1" s="11">
      <c r="A3" s="13" t="inlineStr">
        <is>
          <t>Источники — основная таблица. Одна строка = один источник. Фильтры в заголовке.</t>
        </is>
      </c>
    </row>
    <row r="4" ht="15" customHeight="1" s="11">
      <c r="A4" s="13" t="inlineStr">
        <is>
          <t>Жёлтым выделено: URL не проверен или не указан — нужно найти/подтвердить перед написанием парсера.</t>
        </is>
      </c>
    </row>
    <row r="5" ht="26.85" customHeight="1" s="11">
      <c r="A5" s="13" t="inlineStr">
        <is>
          <t>«URL проверен = да» — адрес подтверждён поиском; «проверить» — источник известен, но адрес и формат нужно сверить.</t>
        </is>
      </c>
    </row>
    <row r="6" ht="15" customHeight="1" s="11">
      <c r="A6" s="13" t="inlineStr">
        <is>
          <t>Приоритет: 1 — брать в MVP, 2 — вторая волна, 3 — когда будет время.</t>
        </is>
      </c>
    </row>
    <row r="7" ht="26.85" customHeight="1" s="11">
      <c r="A7" s="13" t="inlineStr">
        <is>
          <t>Способ сбора: RSS / iCal / API — дешёвый и надёжный; HTML — парсинг; Ручной — ежегодные события, проще завести руками.</t>
        </is>
      </c>
    </row>
    <row r="8" ht="15" customHeight="1" s="11">
      <c r="A8" s="13" t="inlineStr">
        <is>
          <t>Сводка — счётчики по категориям (формулы, пересчитываются сами).</t>
        </is>
      </c>
    </row>
    <row r="9" ht="15" customHeight="1" s="11">
      <c r="A9" s="13" t="inlineStr">
        <is>
          <t>Схема события — поля, которые парсер должен заполнять для каждого события.</t>
        </is>
      </c>
    </row>
    <row r="10" ht="15" customHeight="1" s="11">
      <c r="A10" s="13" t="inlineStr">
        <is>
          <t>Категории и теги — справочник значений для полей category и тегов.</t>
        </is>
      </c>
    </row>
    <row r="11" ht="15" customHeight="1" s="11">
      <c r="A11" s="13" t="n"/>
    </row>
    <row r="12" ht="15" customHeight="1" s="11">
      <c r="A12" s="13" t="inlineStr">
        <is>
          <t>Пример строки: S047 Talks.cam — готовые iCal/RSS/XML-фиды с датой, местом и организатором; приоритет 1.</t>
        </is>
      </c>
    </row>
    <row r="13">
      <c r="A13" s="10" t="inlineStr">
        <is>
          <t>v0.4 (2026-09-27): проверены источники приоритета 1 — см. лист «Проверка P1»; новые столбцы «Endpoint для сбора», «robots.txt», «Проверено». «URL проверен = нет» — URL не отвечает (красный).</t>
        </is>
      </c>
    </row>
    <row r="14">
      <c r="A14" s="10" t="inlineStr">
        <is>
          <t>v0.4, правки после этапа 1: Eventbrite (S008) поднят до приоритета 1; добавлены S090 DesignMyNight и S091 Cambridge Live Tickets; лист «Контрольные события» (источник — data/control_events.json).</t>
        </is>
      </c>
    </row>
    <row r="15">
      <c r="A15" s="29" t="inlineStr">
        <is>
          <t>v0.5 (2026-09-28): этап 5 — проверены источники приоритета 2 и новые источники зоны (S098–S129), см. лист «Проверка P2» и столбец «Заметки»; зелёный — подключён, жёлтый — отложен / нужно решение, красный — закрыт.</t>
        </is>
      </c>
    </row>
    <row r="16">
      <c r="A16" s="29" t="inlineStr">
        <is>
          <t>v0.6 (2026-09-28): этап 6 — HTML-источники P1, семейные источники и новая категория «Семейные места и аттракционы» (P2), поля/церкви/ярмарки, отложенные P2, P3; см. лист «Этап 6».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1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10" min="1" max="1"/>
    <col width="24" customWidth="1" style="10" min="2" max="2"/>
    <col width="38" customWidth="1" style="10" min="3" max="3"/>
    <col width="20" customWidth="1" style="10" min="4" max="4"/>
    <col width="42" customWidth="1" style="10" min="5" max="5"/>
    <col width="44" customWidth="1" style="10" min="6" max="6"/>
    <col width="14" customWidth="1" style="10" min="7" max="7"/>
    <col width="30" customWidth="1" style="10" min="8" max="8"/>
    <col width="16" customWidth="1" style="10" min="9" max="9"/>
    <col width="10" customWidth="1" style="10" min="10" max="10"/>
    <col width="12" customWidth="1" style="10" min="11" max="11"/>
    <col width="50" customWidth="1" style="10" min="12" max="12"/>
    <col width="50" customWidth="1" style="11" min="13" max="13"/>
    <col width="12" customWidth="1" style="11" min="14" max="14"/>
    <col width="12" customWidth="1" style="11" min="15" max="15"/>
  </cols>
  <sheetData>
    <row r="1" ht="39.55" customHeight="1" s="11">
      <c r="A1" s="14" t="inlineStr">
        <is>
          <t>ID</t>
        </is>
      </c>
      <c r="B1" s="14" t="inlineStr">
        <is>
          <t>Категория</t>
        </is>
      </c>
      <c r="C1" s="14" t="inlineStr">
        <is>
          <t>Источник</t>
        </is>
      </c>
      <c r="D1" s="14" t="inlineStr">
        <is>
          <t>Тип источника</t>
        </is>
      </c>
      <c r="E1" s="14" t="inlineStr">
        <is>
          <t>URL</t>
        </is>
      </c>
      <c r="F1" s="14" t="inlineStr">
        <is>
          <t>Что покрывает</t>
        </is>
      </c>
      <c r="G1" s="14" t="inlineStr">
        <is>
          <t>Зона</t>
        </is>
      </c>
      <c r="H1" s="14" t="inlineStr">
        <is>
          <t>Способ сбора</t>
        </is>
      </c>
      <c r="I1" s="14" t="inlineStr">
        <is>
          <t>Частота</t>
        </is>
      </c>
      <c r="J1" s="14" t="inlineStr">
        <is>
          <t>Приоритет</t>
        </is>
      </c>
      <c r="K1" s="14" t="inlineStr">
        <is>
          <t>URL проверен</t>
        </is>
      </c>
      <c r="L1" s="14" t="inlineStr">
        <is>
          <t>Заметки</t>
        </is>
      </c>
      <c r="M1" s="15" t="inlineStr">
        <is>
          <t>Endpoint для сбора</t>
        </is>
      </c>
      <c r="N1" s="15" t="inlineStr">
        <is>
          <t>robots.txt</t>
        </is>
      </c>
      <c r="O1" s="15" t="inlineStr">
        <is>
          <t>Проверено</t>
        </is>
      </c>
    </row>
    <row r="2" ht="23.85" customHeight="1" s="11">
      <c r="A2" s="30" t="inlineStr">
        <is>
          <t>S001</t>
        </is>
      </c>
      <c r="B2" s="16" t="inlineStr">
        <is>
          <t>Сквозные агрегаторы</t>
        </is>
      </c>
      <c r="C2" s="16" t="inlineStr">
        <is>
          <t>Visit Cambridge — events</t>
        </is>
      </c>
      <c r="D2" s="16" t="inlineStr">
        <is>
          <t>Агрегатор</t>
        </is>
      </c>
      <c r="E2" s="16" t="inlineStr">
        <is>
          <t>https://www.visitcambridge.org</t>
        </is>
      </c>
      <c r="F2" s="16" t="inlineStr">
        <is>
          <t>Официальный туристический календарь, все категории</t>
        </is>
      </c>
      <c r="G2" s="16" t="inlineStr">
        <is>
          <t>Центр</t>
        </is>
      </c>
      <c r="H2" s="16" t="inlineStr">
        <is>
          <t>API + HTML</t>
        </is>
      </c>
      <c r="I2" s="16" t="inlineStr">
        <is>
          <t>Ежедневно</t>
        </is>
      </c>
      <c r="J2" s="16" t="n">
        <v>1</v>
      </c>
      <c r="K2" s="16" t="inlineStr">
        <is>
          <t>да</t>
        </is>
      </c>
      <c r="L2" s="16" t="inlineStr">
        <is>
          <t>Хорошая опорная база, но туристический уклон. v0.4: внутренний API vc-map отдаёт события с адресом и postcode, но без дат — даты брать со страниц /event/… Этап 6: подключён — 7 разделов /event-categories/ (постранично) + страницы событий; раздел family-friendly → категория family</t>
        </is>
      </c>
      <c r="M2" s="10" t="inlineStr">
        <is>
          <t>https://www.visitcambridge.org/wp-json/vc-map/v1/events</t>
        </is>
      </c>
      <c r="N2" s="10" t="inlineStr">
        <is>
          <t>разрешено</t>
        </is>
      </c>
      <c r="O2" s="10" t="inlineStr">
        <is>
          <t>2026-09-28</t>
        </is>
      </c>
    </row>
    <row r="3" ht="23.85" customHeight="1" s="11">
      <c r="A3" s="16" t="inlineStr">
        <is>
          <t>S002</t>
        </is>
      </c>
      <c r="B3" s="16" t="inlineStr">
        <is>
          <t>Сквозные агрегаторы</t>
        </is>
      </c>
      <c r="C3" s="16" t="inlineStr">
        <is>
          <t>What's On In Cambridge</t>
        </is>
      </c>
      <c r="D3" s="16" t="inlineStr">
        <is>
          <t>Агрегатор</t>
        </is>
      </c>
      <c r="E3" s="16" t="inlineStr">
        <is>
          <t>https://www.whatsonincambridge.com/__superjs/challenge?u=%2Fevents%2F</t>
        </is>
      </c>
      <c r="F3" s="16" t="inlineStr">
        <is>
          <t>Календарь событий, все категории</t>
        </is>
      </c>
      <c r="G3" s="16" t="inlineStr">
        <is>
          <t>Центр</t>
        </is>
      </c>
      <c r="H3" s="16" t="inlineStr">
        <is>
          <t>RSS</t>
        </is>
      </c>
      <c r="I3" s="16" t="inlineStr">
        <is>
          <t>Ежедневно</t>
        </is>
      </c>
      <c r="J3" s="16" t="n">
        <v>1</v>
      </c>
      <c r="K3" s="16" t="inlineStr">
        <is>
          <t>да</t>
        </is>
      </c>
      <c r="L3" s="16" t="inlineStr">
        <is>
          <t>Сами предупреждают, что обновляют не каждый день — использовать как подсказку, сверять с первоисточником. v0.4: RSS жив (10 записей); страница /events/ за JS-проверкой</t>
        </is>
      </c>
      <c r="M3" s="10" t="inlineStr">
        <is>
          <t>https://www.whatsonincambridge.com/feed/</t>
        </is>
      </c>
      <c r="N3" s="10" t="inlineStr">
        <is>
          <t>разрешено</t>
        </is>
      </c>
      <c r="O3" s="10" t="inlineStr">
        <is>
          <t>2026-09-27</t>
        </is>
      </c>
    </row>
    <row r="4" ht="15" customHeight="1" s="11">
      <c r="A4" s="16" t="inlineStr">
        <is>
          <t>S003</t>
        </is>
      </c>
      <c r="B4" s="16" t="inlineStr">
        <is>
          <t>Сквозные агрегаторы</t>
        </is>
      </c>
      <c r="C4" s="16" t="inlineStr">
        <is>
          <t>Cambridge Independent — What's On</t>
        </is>
      </c>
      <c r="D4" s="16" t="inlineStr">
        <is>
          <t>СМИ</t>
        </is>
      </c>
      <c r="E4" s="16" t="inlineStr">
        <is>
          <t>https://www.cambridgeindependent.co.uk/whats-on/</t>
        </is>
      </c>
      <c r="F4" s="16" t="inlineStr">
        <is>
          <t>Анонсы концертов, театра, кино, семейного</t>
        </is>
      </c>
      <c r="G4" s="16" t="inlineStr">
        <is>
          <t>Центр + 30 мин</t>
        </is>
      </c>
      <c r="H4" s="16" t="inlineStr">
        <is>
          <t>RSS</t>
        </is>
      </c>
      <c r="I4" s="16" t="inlineStr">
        <is>
          <t>Ежедневно</t>
        </is>
      </c>
      <c r="J4" s="16" t="n">
        <v>1</v>
      </c>
      <c r="K4" s="16" t="inlineStr">
        <is>
          <t>да</t>
        </is>
      </c>
      <c r="L4" s="16" t="inlineStr">
        <is>
          <t>Также спортивный раздел — календари United</t>
        </is>
      </c>
      <c r="M4" s="10" t="inlineStr">
        <is>
          <t>https://www.cambridgeindependent.co.uk/_api/rss/cambridge_independent_whatson_feed.xml</t>
        </is>
      </c>
      <c r="N4" s="10" t="inlineStr">
        <is>
          <t>разрешено</t>
        </is>
      </c>
      <c r="O4" s="10" t="inlineStr">
        <is>
          <t>2026-09-27</t>
        </is>
      </c>
    </row>
    <row r="5" ht="15" customHeight="1" s="11">
      <c r="A5" s="16" t="inlineStr">
        <is>
          <t>S004</t>
        </is>
      </c>
      <c r="B5" s="16" t="inlineStr">
        <is>
          <t>Сквозные агрегаторы</t>
        </is>
      </c>
      <c r="C5" s="16" t="inlineStr">
        <is>
          <t>Cambridge News / CambridgeshireLive</t>
        </is>
      </c>
      <c r="D5" s="16" t="inlineStr">
        <is>
          <t>СМИ</t>
        </is>
      </c>
      <c r="E5" s="16" t="inlineStr">
        <is>
          <t>https://www.cambridge-news.co.uk</t>
        </is>
      </c>
      <c r="F5" s="16" t="inlineStr">
        <is>
          <t>Новости, анонсы, отмены, перекрытия</t>
        </is>
      </c>
      <c r="G5" s="16" t="inlineStr">
        <is>
          <t>Центр + час</t>
        </is>
      </c>
      <c r="H5" s="16" t="inlineStr">
        <is>
          <t>RSS</t>
        </is>
      </c>
      <c r="I5" s="16" t="inlineStr">
        <is>
          <t>2–3 раза в день</t>
        </is>
      </c>
      <c r="J5" s="16" t="n">
        <v>1</v>
      </c>
      <c r="K5" s="16" t="inlineStr">
        <is>
          <t>да</t>
        </is>
      </c>
      <c r="L5" s="16" t="inlineStr">
        <is>
          <t>Ключевой источник для контура отмен. v0.4: раздел What's On: /whats-on/?service=rss; общий фид новостей /?service=rss — для контура отмен</t>
        </is>
      </c>
      <c r="M5" s="10" t="inlineStr">
        <is>
          <t>https://www.cambridge-news.co.uk/whats-on/?service=rss</t>
        </is>
      </c>
      <c r="N5" s="10" t="inlineStr">
        <is>
          <t>разрешено</t>
        </is>
      </c>
      <c r="O5" s="10" t="inlineStr">
        <is>
          <t>2026-09-27</t>
        </is>
      </c>
    </row>
    <row r="6" ht="23.85" customHeight="1" s="11">
      <c r="A6" s="16" t="inlineStr">
        <is>
          <t>S005</t>
        </is>
      </c>
      <c r="B6" s="16" t="inlineStr">
        <is>
          <t>Сквозные агрегаторы</t>
        </is>
      </c>
      <c r="C6" s="16" t="inlineStr">
        <is>
          <t>Cambridge 105 — события</t>
        </is>
      </c>
      <c r="D6" s="16" t="inlineStr">
        <is>
          <t>СМИ / календарь</t>
        </is>
      </c>
      <c r="E6" s="16" t="inlineStr">
        <is>
          <t>https://cambridge105.co.uk</t>
        </is>
      </c>
      <c r="F6" s="16" t="inlineStr">
        <is>
          <t>Общественное радио, календарь местных событий</t>
        </is>
      </c>
      <c r="G6" s="16" t="inlineStr">
        <is>
          <t>Центр</t>
        </is>
      </c>
      <c r="H6" s="16" t="inlineStr">
        <is>
          <t>iCal</t>
        </is>
      </c>
      <c r="I6" s="16" t="inlineStr">
        <is>
          <t>Ежедневно</t>
        </is>
      </c>
      <c r="J6" s="16" t="n">
        <v>1</v>
      </c>
      <c r="K6" s="16" t="inlineStr">
        <is>
          <t>да</t>
        </is>
      </c>
      <c r="L6" s="16" t="inlineStr">
        <is>
          <t>Поймал Thriplow Daffodil Weekend — сильный источник по деревенскому long tail. v0.4: iCal The Events Calendar (22 события) + REST /wp-json/tribe/events/v1/events</t>
        </is>
      </c>
      <c r="M6" s="10" t="inlineStr">
        <is>
          <t>https://cambridge105.co.uk/whatson/?ical=1</t>
        </is>
      </c>
      <c r="N6" s="10" t="inlineStr">
        <is>
          <t>разрешено</t>
        </is>
      </c>
      <c r="O6" s="10" t="inlineStr">
        <is>
          <t>2026-09-27</t>
        </is>
      </c>
    </row>
    <row r="7" ht="15" customHeight="1" s="11">
      <c r="A7" s="16" t="inlineStr">
        <is>
          <t>S006</t>
        </is>
      </c>
      <c r="B7" s="16" t="inlineStr">
        <is>
          <t>Сквозные агрегаторы</t>
        </is>
      </c>
      <c r="C7" s="16" t="inlineStr">
        <is>
          <t>Ents24 — Cambridge</t>
        </is>
      </c>
      <c r="D7" s="16" t="inlineStr">
        <is>
          <t>Агрегатор</t>
        </is>
      </c>
      <c r="E7" s="16" t="inlineStr">
        <is>
          <t>https://www.ents24.com/whatson/cambridge</t>
        </is>
      </c>
      <c r="F7" s="16" t="inlineStr">
        <is>
          <t>Концерты, комедия, театр по всем площадкам</t>
        </is>
      </c>
      <c r="G7" s="16" t="inlineStr">
        <is>
          <t>Центр + 30 мин</t>
        </is>
      </c>
      <c r="H7" s="16" t="inlineStr">
        <is>
          <t>JSON-LD</t>
        </is>
      </c>
      <c r="I7" s="16" t="inlineStr">
        <is>
          <t>Ежедневно</t>
        </is>
      </c>
      <c r="J7" s="16" t="n">
        <v>1</v>
      </c>
      <c r="K7" s="16" t="inlineStr">
        <is>
          <t>да</t>
        </is>
      </c>
      <c r="L7" s="16" t="inlineStr">
        <is>
          <t>Удобно ловить объявления новых шоу. v0.4: JSON-LD на первой странице списка (~37 событий), продолжение подгружается JS; через Ents24 ловим и Arts Theatre (S041)</t>
        </is>
      </c>
      <c r="M7" s="10" t="inlineStr">
        <is>
          <t>https://www.ents24.com/whatson/cambridge</t>
        </is>
      </c>
      <c r="N7" s="10" t="inlineStr">
        <is>
          <t>разрешено</t>
        </is>
      </c>
      <c r="O7" s="10" t="inlineStr">
        <is>
          <t>2026-09-27</t>
        </is>
      </c>
    </row>
    <row r="8" ht="15" customHeight="1" s="11">
      <c r="A8" s="16" t="inlineStr">
        <is>
          <t>S007</t>
        </is>
      </c>
      <c r="B8" s="16" t="inlineStr">
        <is>
          <t>Сквозные агрегаторы</t>
        </is>
      </c>
      <c r="C8" s="16" t="inlineStr">
        <is>
          <t>Skiddle — Cambridge</t>
        </is>
      </c>
      <c r="D8" s="16" t="inlineStr">
        <is>
          <t>Агрегатор / билеты</t>
        </is>
      </c>
      <c r="E8" s="16" t="inlineStr">
        <is>
          <t>https://www.skiddle.com/whats-on/Cambridge/</t>
        </is>
      </c>
      <c r="F8" s="16" t="inlineStr">
        <is>
          <t>Клубы, гиги, фестивали</t>
        </is>
      </c>
      <c r="G8" s="16" t="inlineStr">
        <is>
          <t>Центр</t>
        </is>
      </c>
      <c r="H8" s="16" t="inlineStr">
        <is>
          <t>JSON-LD</t>
        </is>
      </c>
      <c r="I8" s="16" t="inlineStr">
        <is>
          <t>Ежедневно</t>
        </is>
      </c>
      <c r="J8" s="16" t="n">
        <v>1</v>
      </c>
      <c r="K8" s="16" t="inlineStr">
        <is>
          <t>да</t>
        </is>
      </c>
      <c r="L8" s="16" t="inlineStr">
        <is>
          <t>Есть API и партнёрка — сразу и данные, и монетизация. v0.4: ~49 событий JSON-LD на первой странице списка; продолжение подгружается JS; API и ключ не нужны (решение после этапа 1)</t>
        </is>
      </c>
      <c r="M8" s="10" t="inlineStr">
        <is>
          <t>https://www.skiddle.com/whats-on/Cambridge/</t>
        </is>
      </c>
      <c r="N8" s="10" t="inlineStr">
        <is>
          <t>разрешено</t>
        </is>
      </c>
      <c r="O8" s="10" t="inlineStr">
        <is>
          <t>2026-09-27</t>
        </is>
      </c>
    </row>
    <row r="9" ht="23.85" customHeight="1" s="11">
      <c r="A9" s="16" t="inlineStr">
        <is>
          <t>S008</t>
        </is>
      </c>
      <c r="B9" s="16" t="inlineStr">
        <is>
          <t>Сквозные агрегаторы</t>
        </is>
      </c>
      <c r="C9" s="16" t="inlineStr">
        <is>
          <t>Eventbrite — Cambridge</t>
        </is>
      </c>
      <c r="D9" s="16" t="inlineStr">
        <is>
          <t>Агрегатор / билеты</t>
        </is>
      </c>
      <c r="E9" s="16" t="inlineStr">
        <is>
          <t>https://www.eventbrite.co.uk/d/united-kingdom--cambridge/all-events/</t>
        </is>
      </c>
      <c r="F9" s="16" t="inlineStr">
        <is>
          <t>Воркшопы, лекции, нетворкинг, благотворительность</t>
        </is>
      </c>
      <c r="G9" s="16" t="inlineStr">
        <is>
          <t>Центр + 30 мин</t>
        </is>
      </c>
      <c r="H9" s="16" t="inlineStr">
        <is>
          <t>JSON-LD</t>
        </is>
      </c>
      <c r="I9" s="16" t="inlineStr">
        <is>
          <t>Ежедневно</t>
        </is>
      </c>
      <c r="J9" s="16" t="n">
        <v>1</v>
      </c>
      <c r="K9" s="16" t="inlineStr">
        <is>
          <t>да</t>
        </is>
      </c>
      <c r="L9" s="16" t="inlineStr">
        <is>
          <t>Много шума — нужен жёсткий фильтр. v0.4: поднят до P1 в v0.4; 20 событий JSON-LD на страницу, с postcode и координатами; фильтр — почтовые области CB, PE, SG, CM, IP, онлайн отбрасываем</t>
        </is>
      </c>
      <c r="M9" s="10" t="inlineStr">
        <is>
          <t>https://www.eventbrite.co.uk/d/united-kingdom--cambridge/all-events/?page=N</t>
        </is>
      </c>
      <c r="N9" s="10" t="inlineStr">
        <is>
          <t>разрешено</t>
        </is>
      </c>
      <c r="O9" s="10" t="inlineStr">
        <is>
          <t>2026-09-27</t>
        </is>
      </c>
    </row>
    <row r="10" ht="23.85" customHeight="1" s="11">
      <c r="A10" s="16" t="inlineStr">
        <is>
          <t>S009</t>
        </is>
      </c>
      <c r="B10" s="16" t="inlineStr">
        <is>
          <t>Сквозные агрегаторы</t>
        </is>
      </c>
      <c r="C10" s="16" t="inlineStr">
        <is>
          <t>Songkick — площадки Кембриджа</t>
        </is>
      </c>
      <c r="D10" s="16" t="inlineStr">
        <is>
          <t>Агрегатор</t>
        </is>
      </c>
      <c r="E10" s="16" t="inlineStr">
        <is>
          <t>https://www.songkick.com</t>
        </is>
      </c>
      <c r="F10" s="16" t="inlineStr">
        <is>
          <t>Концерты по площадкам</t>
        </is>
      </c>
      <c r="G10" s="16" t="inlineStr">
        <is>
          <t>Центр</t>
        </is>
      </c>
      <c r="H10" s="16" t="inlineStr">
        <is>
          <t>HTML (API для новых партнёров ограничен — проверить)</t>
        </is>
      </c>
      <c r="I10" s="16" t="inlineStr">
        <is>
          <t>Еженедельно</t>
        </is>
      </c>
      <c r="J10" s="16" t="n">
        <v>3</v>
      </c>
      <c r="K10" s="16" t="inlineStr">
        <is>
          <t>да</t>
        </is>
      </c>
      <c r="L10" s="16" t="inlineStr">
        <is>
          <t>Этап 6: не нужен — Songkick: страница города — 404, API для новых партнёров закрыт; концерты покрыты Ents24/Skiddle (S006, S007)</t>
        </is>
      </c>
      <c r="O10" t="inlineStr">
        <is>
          <t>2026-09-28</t>
        </is>
      </c>
    </row>
    <row r="11" ht="15" customHeight="1" s="11">
      <c r="A11" s="30" t="inlineStr">
        <is>
          <t>S010</t>
        </is>
      </c>
      <c r="B11" s="16" t="inlineStr">
        <is>
          <t>Сквозные агрегаторы</t>
        </is>
      </c>
      <c r="C11" s="16" t="inlineStr">
        <is>
          <t>Peterborough Telegraph</t>
        </is>
      </c>
      <c r="D11" s="16" t="inlineStr">
        <is>
          <t>СМИ</t>
        </is>
      </c>
      <c r="E11" s="16" t="inlineStr">
        <is>
          <t>https://www.peterboroughtoday.co.uk</t>
        </is>
      </c>
      <c r="F11" s="16" t="inlineStr">
        <is>
          <t>Север графства: Уиттлси, Питерборо, фены</t>
        </is>
      </c>
      <c r="G11" s="16" t="inlineStr">
        <is>
          <t>Час</t>
        </is>
      </c>
      <c r="H11" s="16" t="inlineStr">
        <is>
          <t>RSS (уточнить)</t>
        </is>
      </c>
      <c r="I11" s="16" t="inlineStr">
        <is>
          <t>Ежедневно</t>
        </is>
      </c>
      <c r="J11" s="16" t="n">
        <v>2</v>
      </c>
      <c r="K11" s="16" t="inlineStr">
        <is>
          <t>да</t>
        </is>
      </c>
      <c r="L11" s="16" t="inlineStr">
        <is>
          <t>Этап 5: подключён — RSS (HTML сайта — 403); статьи → извлечение через Claude</t>
        </is>
      </c>
      <c r="M11" s="10" t="inlineStr">
        <is>
          <t>https://www.peterboroughtoday.co.uk/rss</t>
        </is>
      </c>
      <c r="N11" s="10" t="inlineStr">
        <is>
          <t>разрешено</t>
        </is>
      </c>
      <c r="O11" s="10" t="inlineStr">
        <is>
          <t>2026-09-28</t>
        </is>
      </c>
    </row>
    <row r="12" ht="23.85" customHeight="1" s="11">
      <c r="A12" s="16" t="inlineStr">
        <is>
          <t>S011</t>
        </is>
      </c>
      <c r="B12" s="16" t="inlineStr">
        <is>
          <t>Концерты</t>
        </is>
      </c>
      <c r="C12" s="16" t="inlineStr">
        <is>
          <t>Cambridge Corn Exchange</t>
        </is>
      </c>
      <c r="D12" s="16" t="inlineStr">
        <is>
          <t>Площадка</t>
        </is>
      </c>
      <c r="E12" s="16" t="inlineStr">
        <is>
          <t>https://www.cornex.co.uk/events</t>
        </is>
      </c>
      <c r="F12" s="16" t="inlineStr">
        <is>
          <t>Крупные концерты, комедия, балет, городские события</t>
        </is>
      </c>
      <c r="G12" s="16" t="inlineStr">
        <is>
          <t>Центр</t>
        </is>
      </c>
      <c r="H12" s="16" t="inlineStr">
        <is>
          <t>HTML + JSON-LD</t>
        </is>
      </c>
      <c r="I12" s="16" t="inlineStr">
        <is>
          <t>Ежедневно</t>
        </is>
      </c>
      <c r="J12" s="16" t="n">
        <v>1</v>
      </c>
      <c r="K12" s="16" t="inlineStr">
        <is>
          <t>да</t>
        </is>
      </c>
      <c r="L12" s="16" t="inlineStr">
        <is>
          <t>Сайт Cambridge Live — там же городские события (фейерверки и др.). v0.4: сайт Corn Exchange — cornex.co.uk; список в HTML, на странице события JSON-LD Event с адресом и postcode; cambridgelive.org.uk → билетный сайт</t>
        </is>
      </c>
      <c r="M12" s="10" t="inlineStr">
        <is>
          <t>https://www.cornex.co.uk/events</t>
        </is>
      </c>
      <c r="N12" s="10" t="inlineStr">
        <is>
          <t>разрешено</t>
        </is>
      </c>
      <c r="O12" s="10" t="inlineStr">
        <is>
          <t>2026-09-27</t>
        </is>
      </c>
    </row>
    <row r="13" ht="15" customHeight="1" s="11">
      <c r="A13" s="30" t="inlineStr">
        <is>
          <t>S012</t>
        </is>
      </c>
      <c r="B13" s="16" t="inlineStr">
        <is>
          <t>Концерты</t>
        </is>
      </c>
      <c r="C13" s="16" t="inlineStr">
        <is>
          <t>Cambridge Junction</t>
        </is>
      </c>
      <c r="D13" s="16" t="inlineStr">
        <is>
          <t>Площадка</t>
        </is>
      </c>
      <c r="E13" s="16" t="inlineStr">
        <is>
          <t>https://www.junction.co.uk</t>
        </is>
      </c>
      <c r="F13" s="16" t="inlineStr">
        <is>
          <t>Концерты, комедия, клубные вечера, театр</t>
        </is>
      </c>
      <c r="G13" s="16" t="inlineStr">
        <is>
          <t>Центр</t>
        </is>
      </c>
      <c r="H13" s="16" t="inlineStr">
        <is>
          <t>API + HTML</t>
        </is>
      </c>
      <c r="I13" s="16" t="inlineStr">
        <is>
          <t>Ежедневно</t>
        </is>
      </c>
      <c r="J13" s="16" t="n">
        <v>1</v>
      </c>
      <c r="K13" s="16" t="inlineStr">
        <is>
          <t>да</t>
        </is>
      </c>
      <c r="L13" s="16" t="inlineStr">
        <is>
          <t>v0.4: WP REST, тип cj_events: названия и ссылки, дат нет — даты со страниц; /feed/ — это блог, не афиша Этап 6: подключён — HTML /whats-on/page/N + страницы событий («Event Information»: дата, время, цена); кэш страниц</t>
        </is>
      </c>
      <c r="M13" s="10" t="inlineStr">
        <is>
          <t>https://www.junction.co.uk/wp-json/wp/v2/cj_events</t>
        </is>
      </c>
      <c r="N13" s="10" t="inlineStr">
        <is>
          <t>разрешено</t>
        </is>
      </c>
      <c r="O13" s="10" t="inlineStr">
        <is>
          <t>2026-09-28</t>
        </is>
      </c>
    </row>
    <row r="14" ht="15" customHeight="1" s="11">
      <c r="A14" s="16" t="inlineStr">
        <is>
          <t>S013</t>
        </is>
      </c>
      <c r="B14" s="16" t="inlineStr">
        <is>
          <t>Концерты</t>
        </is>
      </c>
      <c r="C14" s="16" t="inlineStr">
        <is>
          <t>The Portland Arms</t>
        </is>
      </c>
      <c r="D14" s="16" t="inlineStr">
        <is>
          <t>Площадка</t>
        </is>
      </c>
      <c r="E14" s="17" t="n"/>
      <c r="F14" s="16" t="inlineStr">
        <is>
          <t>Небольшие рок/инди-концерты</t>
        </is>
      </c>
      <c r="G14" s="16" t="inlineStr">
        <is>
          <t>Центр</t>
        </is>
      </c>
      <c r="H14" s="16" t="inlineStr">
        <is>
          <t>Через Ents24/Skiddle</t>
        </is>
      </c>
      <c r="I14" s="16" t="inlineStr">
        <is>
          <t>Еженедельно</t>
        </is>
      </c>
      <c r="J14" s="16" t="n">
        <v>2</v>
      </c>
      <c r="K14" s="17" t="inlineStr">
        <is>
          <t>нет</t>
        </is>
      </c>
      <c r="L14" s="16" t="inlineStr">
        <is>
          <t>Этап 5: не нужен — robots.txt отвечает 403; концерты есть на Ents24/Skiddle (S006/S007)</t>
        </is>
      </c>
      <c r="N14" s="10" t="inlineStr">
        <is>
          <t>—</t>
        </is>
      </c>
      <c r="O14" s="10" t="inlineStr">
        <is>
          <t>2026-09-28</t>
        </is>
      </c>
    </row>
    <row r="15" ht="15" customHeight="1" s="11">
      <c r="A15" s="16" t="inlineStr">
        <is>
          <t>S014</t>
        </is>
      </c>
      <c r="B15" s="16" t="inlineStr">
        <is>
          <t>Концерты</t>
        </is>
      </c>
      <c r="C15" s="16" t="inlineStr">
        <is>
          <t>Storey's Field Centre (Eddington)</t>
        </is>
      </c>
      <c r="D15" s="16" t="inlineStr">
        <is>
          <t>Площадка</t>
        </is>
      </c>
      <c r="E15" s="17" t="n"/>
      <c r="F15" s="16" t="inlineStr">
        <is>
          <t>Камерная музыка, фолк, джаз</t>
        </is>
      </c>
      <c r="G15" s="16" t="inlineStr">
        <is>
          <t>Центр</t>
        </is>
      </c>
      <c r="H15" s="16" t="inlineStr">
        <is>
          <t>HTML</t>
        </is>
      </c>
      <c r="I15" s="16" t="inlineStr">
        <is>
          <t>Еженедельно</t>
        </is>
      </c>
      <c r="J15" s="16" t="n">
        <v>2</v>
      </c>
      <c r="K15" s="17" t="inlineStr">
        <is>
          <t>да</t>
        </is>
      </c>
      <c r="L15" s="16" t="inlineStr">
        <is>
          <t>Этап 5: не нужен — фид — 3 новости; события продаются через Eventbrite (S008) и Cambridge Live Tickets (S091)</t>
        </is>
      </c>
      <c r="M15" s="10" t="inlineStr">
        <is>
          <t>https://www.storeysfieldcentre.org.uk/feed/</t>
        </is>
      </c>
      <c r="N15" s="10" t="inlineStr">
        <is>
          <t>разрешено</t>
        </is>
      </c>
      <c r="O15" s="10" t="inlineStr">
        <is>
          <t>2026-09-28</t>
        </is>
      </c>
    </row>
    <row r="16" ht="15" customHeight="1" s="11">
      <c r="A16" s="16" t="inlineStr">
        <is>
          <t>S015</t>
        </is>
      </c>
      <c r="B16" s="16" t="inlineStr">
        <is>
          <t>Концерты</t>
        </is>
      </c>
      <c r="C16" s="16" t="inlineStr">
        <is>
          <t>West Road Concert Hall</t>
        </is>
      </c>
      <c r="D16" s="16" t="inlineStr">
        <is>
          <t>Площадка</t>
        </is>
      </c>
      <c r="E16" s="17" t="n"/>
      <c r="F16" s="16" t="inlineStr">
        <is>
          <t>Классика, университетские оркестры</t>
        </is>
      </c>
      <c r="G16" s="16" t="inlineStr">
        <is>
          <t>Центр</t>
        </is>
      </c>
      <c r="H16" s="16" t="inlineStr">
        <is>
          <t>HTML</t>
        </is>
      </c>
      <c r="I16" s="16" t="inlineStr">
        <is>
          <t>Еженедельно</t>
        </is>
      </c>
      <c r="J16" s="16" t="n">
        <v>2</v>
      </c>
      <c r="K16" s="17" t="inlineStr">
        <is>
          <t>да</t>
        </is>
      </c>
      <c r="L16" s="16" t="inlineStr">
        <is>
          <t>Этап 5: не нужен — HTML без JSON-LD; концерты уже приходят из S091, S005, S007, S008</t>
        </is>
      </c>
      <c r="M16" s="10" t="inlineStr">
        <is>
          <t>https://www.westroad.org</t>
        </is>
      </c>
      <c r="N16" s="10" t="inlineStr">
        <is>
          <t>разрешено</t>
        </is>
      </c>
      <c r="O16" s="10" t="inlineStr">
        <is>
          <t>2026-09-28</t>
        </is>
      </c>
    </row>
    <row r="17" ht="23.85" customHeight="1" s="11">
      <c r="A17" s="16" t="inlineStr">
        <is>
          <t>S016</t>
        </is>
      </c>
      <c r="B17" s="16" t="inlineStr">
        <is>
          <t>Концерты</t>
        </is>
      </c>
      <c r="C17" s="16" t="inlineStr">
        <is>
          <t>Хоровая музыка колледжей (King's, St John's, Trinity)</t>
        </is>
      </c>
      <c r="D17" s="16" t="inlineStr">
        <is>
          <t>Площадка</t>
        </is>
      </c>
      <c r="E17" s="17" t="n"/>
      <c r="F17" s="16" t="inlineStr">
        <is>
          <t>Evensong, концерты хоров, органные вечера</t>
        </is>
      </c>
      <c r="G17" s="16" t="inlineStr">
        <is>
          <t>Центр</t>
        </is>
      </c>
      <c r="H17" s="16" t="inlineStr">
        <is>
          <t>HTML по колледжам</t>
        </is>
      </c>
      <c r="I17" s="16" t="inlineStr">
        <is>
          <t>Еженедельно</t>
        </is>
      </c>
      <c r="J17" s="16" t="n">
        <v>3</v>
      </c>
      <c r="K17" s="17" t="inlineStr">
        <is>
          <t>—</t>
        </is>
      </c>
      <c r="L17" s="16" t="inlineStr">
        <is>
          <t>Бесплатно — хороший материал для рубрики «бесплатно» Этап 6: не нужен — хоровая музыка колледжей — покрыто: King's/GSM через Ents24 и University What's On (S048), St John's/Trinity — Visit Cambridge (S001); регулярный evensong в выпуск не идёт</t>
        </is>
      </c>
      <c r="O17" t="inlineStr">
        <is>
          <t>2026-09-28</t>
        </is>
      </c>
    </row>
    <row r="18" ht="15" customHeight="1" s="11">
      <c r="A18" s="30" t="inlineStr">
        <is>
          <t>S017</t>
        </is>
      </c>
      <c r="B18" s="16" t="inlineStr">
        <is>
          <t>Концерты</t>
        </is>
      </c>
      <c r="C18" s="16" t="inlineStr">
        <is>
          <t>Saffron Hall</t>
        </is>
      </c>
      <c r="D18" s="16" t="inlineStr">
        <is>
          <t>Площадка</t>
        </is>
      </c>
      <c r="E18" s="17" t="n"/>
      <c r="F18" s="16" t="inlineStr">
        <is>
          <t>Классика и крупные концерты</t>
        </is>
      </c>
      <c r="G18" s="16" t="inlineStr">
        <is>
          <t>Час</t>
        </is>
      </c>
      <c r="H18" s="16" t="inlineStr">
        <is>
          <t>HTML</t>
        </is>
      </c>
      <c r="I18" s="16" t="inlineStr">
        <is>
          <t>Еженедельно</t>
        </is>
      </c>
      <c r="J18" s="16" t="n">
        <v>2</v>
      </c>
      <c r="K18" s="17" t="inlineStr">
        <is>
          <t>да</t>
        </is>
      </c>
      <c r="L18" s="16" t="inlineStr">
        <is>
          <t>Этап 5: подключён — HTML-карточки: дата, время, наличие билетов (Nearly full → «мало билетов»), отмены</t>
        </is>
      </c>
      <c r="M18" s="10" t="inlineStr">
        <is>
          <t>https://www.saffronhall.com/</t>
        </is>
      </c>
      <c r="N18" s="10" t="inlineStr">
        <is>
          <t>разрешено</t>
        </is>
      </c>
      <c r="O18" s="10" t="inlineStr">
        <is>
          <t>2026-09-28</t>
        </is>
      </c>
    </row>
    <row r="19" ht="23.85" customHeight="1" s="11">
      <c r="A19" s="16" t="inlineStr">
        <is>
          <t>S018</t>
        </is>
      </c>
      <c r="B19" s="16" t="inlineStr">
        <is>
          <t>Спорт — смотреть</t>
        </is>
      </c>
      <c r="C19" s="16" t="inlineStr">
        <is>
          <t>Cambridge United</t>
        </is>
      </c>
      <c r="D19" s="16" t="inlineStr">
        <is>
          <t>Клуб</t>
        </is>
      </c>
      <c r="E19" s="16" t="inlineStr">
        <is>
          <t>https://www.cambridgeunited.com/fixture/list/57</t>
        </is>
      </c>
      <c r="F19" s="16" t="inlineStr">
        <is>
          <t>Матчи Лиги 1, кубки</t>
        </is>
      </c>
      <c r="G19" s="16" t="inlineStr">
        <is>
          <t>Центр</t>
        </is>
      </c>
      <c r="H19" s="16" t="inlineStr">
        <is>
          <t>iCal (fixtur.es) + HTML</t>
        </is>
      </c>
      <c r="I19" s="16" t="inlineStr">
        <is>
          <t>Еженедельно</t>
        </is>
      </c>
      <c r="J19" s="16" t="n">
        <v>1</v>
      </c>
      <c r="K19" s="16" t="inlineStr">
        <is>
          <t>да</t>
        </is>
      </c>
      <c r="L19" s="16" t="inlineStr">
        <is>
          <t>Календарь сезона публикуется летом целиком. v0.4: у клуба календарь только в HTML (/fixture/list/57); готовый iCal домашних матчей — сторонний fixtur.es, сверять с сайтом клуба</t>
        </is>
      </c>
      <c r="M19" s="10" t="inlineStr">
        <is>
          <t>https://ics.fixtur.es/v2/home/cambridge-united-fc.ics</t>
        </is>
      </c>
      <c r="N19" s="10" t="inlineStr">
        <is>
          <t>разрешено</t>
        </is>
      </c>
      <c r="O19" s="10" t="inlineStr">
        <is>
          <t>2026-09-27</t>
        </is>
      </c>
    </row>
    <row r="20" ht="15" customHeight="1" s="11">
      <c r="A20" s="16" t="inlineStr">
        <is>
          <t>S019</t>
        </is>
      </c>
      <c r="B20" s="16" t="inlineStr">
        <is>
          <t>Спорт — смотреть</t>
        </is>
      </c>
      <c r="C20" s="16" t="inlineStr">
        <is>
          <t>Cambridge City FC</t>
        </is>
      </c>
      <c r="D20" s="16" t="inlineStr">
        <is>
          <t>Клуб</t>
        </is>
      </c>
      <c r="E20" s="17" t="n"/>
      <c r="F20" s="16" t="inlineStr">
        <is>
          <t>Нон-лиг футбол</t>
        </is>
      </c>
      <c r="G20" s="16" t="inlineStr">
        <is>
          <t>30 мин</t>
        </is>
      </c>
      <c r="H20" s="16" t="inlineStr">
        <is>
          <t>HTML</t>
        </is>
      </c>
      <c r="I20" s="16" t="inlineStr">
        <is>
          <t>Еженедельно</t>
        </is>
      </c>
      <c r="J20" s="16" t="n">
        <v>3</v>
      </c>
      <c r="K20" s="17" t="inlineStr">
        <is>
          <t>да</t>
        </is>
      </c>
      <c r="L20" s="16" t="inlineStr">
        <is>
          <t>Этап 6: не нужен — Cambridge City FC: 8-й уровень (Isthmian North, стадион в Sawston), матчи низкой значимости; сайт лиги без календаря в HTML, Football Web Pages — 403</t>
        </is>
      </c>
      <c r="O20" t="inlineStr">
        <is>
          <t>2026-09-28</t>
        </is>
      </c>
    </row>
    <row r="21" ht="15" customHeight="1" s="11">
      <c r="A21" s="31" t="inlineStr">
        <is>
          <t>S020</t>
        </is>
      </c>
      <c r="B21" s="16" t="inlineStr">
        <is>
          <t>Спорт — смотреть</t>
        </is>
      </c>
      <c r="C21" s="16" t="inlineStr">
        <is>
          <t>Cambridge Rugby Club</t>
        </is>
      </c>
      <c r="D21" s="16" t="inlineStr">
        <is>
          <t>Клуб</t>
        </is>
      </c>
      <c r="E21" s="17" t="n"/>
      <c r="F21" s="16" t="inlineStr">
        <is>
          <t>Регби, National League</t>
        </is>
      </c>
      <c r="G21" s="16" t="inlineStr">
        <is>
          <t>Центр</t>
        </is>
      </c>
      <c r="H21" s="16" t="inlineStr">
        <is>
          <t>HTML</t>
        </is>
      </c>
      <c r="I21" s="16" t="inlineStr">
        <is>
          <t>Еженедельно</t>
        </is>
      </c>
      <c r="J21" s="16" t="n">
        <v>2</v>
      </c>
      <c r="K21" s="17" t="inlineStr">
        <is>
          <t>нет</t>
        </is>
      </c>
      <c r="L21" s="16" t="inlineStr">
        <is>
          <t>Этап 5: закрыт — страница-проверка (HTTP 202, бот-защита); обходить не будем</t>
        </is>
      </c>
      <c r="N21" s="10" t="inlineStr">
        <is>
          <t>—</t>
        </is>
      </c>
      <c r="O21" s="10" t="inlineStr">
        <is>
          <t>2026-09-28</t>
        </is>
      </c>
    </row>
    <row r="22" ht="15" customHeight="1" s="11">
      <c r="A22" s="16" t="inlineStr">
        <is>
          <t>S021</t>
        </is>
      </c>
      <c r="B22" s="16" t="inlineStr">
        <is>
          <t>Спорт — смотреть</t>
        </is>
      </c>
      <c r="C22" s="16" t="inlineStr">
        <is>
          <t>Newmarket Racecourses</t>
        </is>
      </c>
      <c r="D22" s="16" t="inlineStr">
        <is>
          <t>Площадка</t>
        </is>
      </c>
      <c r="E22" s="16" t="inlineStr">
        <is>
          <t>https://www.thejockeyclub.co.uk/newmarket/events-tickets/</t>
        </is>
      </c>
      <c r="F22" s="16" t="inlineStr">
        <is>
          <t>Скачки, летние концерты Newmarket Nights</t>
        </is>
      </c>
      <c r="G22" s="16" t="inlineStr">
        <is>
          <t>30 мин</t>
        </is>
      </c>
      <c r="H22" s="16" t="inlineStr">
        <is>
          <t>JSON-LD</t>
        </is>
      </c>
      <c r="I22" s="16" t="inlineStr">
        <is>
          <t>Еженедельно</t>
        </is>
      </c>
      <c r="J22" s="16" t="n">
        <v>1</v>
      </c>
      <c r="K22" s="16" t="inlineStr">
        <is>
          <t>да</t>
        </is>
      </c>
      <c r="L22" s="16" t="inlineStr">
        <is>
          <t>Сайт Jockey Club</t>
        </is>
      </c>
      <c r="M22" s="10" t="inlineStr">
        <is>
          <t>https://www.thejockeyclub.co.uk/newmarket/events-tickets/</t>
        </is>
      </c>
      <c r="N22" s="10" t="inlineStr">
        <is>
          <t>разрешено</t>
        </is>
      </c>
      <c r="O22" s="10" t="inlineStr">
        <is>
          <t>2026-09-27</t>
        </is>
      </c>
    </row>
    <row r="23" ht="15" customHeight="1" s="11">
      <c r="A23" s="30" t="inlineStr">
        <is>
          <t>S022</t>
        </is>
      </c>
      <c r="B23" s="16" t="inlineStr">
        <is>
          <t>Спорт — смотреть</t>
        </is>
      </c>
      <c r="C23" s="16" t="inlineStr">
        <is>
          <t>Huntingdon Racecourse</t>
        </is>
      </c>
      <c r="D23" s="16" t="inlineStr">
        <is>
          <t>Площадка</t>
        </is>
      </c>
      <c r="E23" s="17" t="n"/>
      <c r="F23" s="16" t="inlineStr">
        <is>
          <t>Скачки</t>
        </is>
      </c>
      <c r="G23" s="16" t="inlineStr">
        <is>
          <t>30 мин</t>
        </is>
      </c>
      <c r="H23" s="16" t="inlineStr">
        <is>
          <t>HTML</t>
        </is>
      </c>
      <c r="I23" s="16" t="inlineStr">
        <is>
          <t>Еженедельно</t>
        </is>
      </c>
      <c r="J23" s="16" t="n">
        <v>3</v>
      </c>
      <c r="K23" s="17" t="inlineStr">
        <is>
          <t>да</t>
        </is>
      </c>
      <c r="L23" s="16" t="inlineStr">
        <is>
          <t>Сайт Jockey Club Этап 6: подключён — Huntingdon Racecourse: JSON-LD на странице событий Jockey Club (как Newmarket S021)</t>
        </is>
      </c>
      <c r="O23" t="inlineStr">
        <is>
          <t>2026-09-28</t>
        </is>
      </c>
    </row>
    <row r="24" ht="23.85" customHeight="1" s="11">
      <c r="A24" s="16" t="inlineStr">
        <is>
          <t>S023</t>
        </is>
      </c>
      <c r="B24" s="16" t="inlineStr">
        <is>
          <t>Спорт — смотреть</t>
        </is>
      </c>
      <c r="C24" s="16" t="inlineStr">
        <is>
          <t>CUCBC — May Bumps / Lent Bumps</t>
        </is>
      </c>
      <c r="D24" s="16" t="inlineStr">
        <is>
          <t>Организатор</t>
        </is>
      </c>
      <c r="E24" s="17" t="n"/>
      <c r="F24" s="16" t="inlineStr">
        <is>
          <t>Университетские гонки гребных лодок: Lent Bumps (февраль–март) и May Bumps (июнь)</t>
        </is>
      </c>
      <c r="G24" s="16" t="inlineStr">
        <is>
          <t>Центр</t>
        </is>
      </c>
      <c r="H24" s="16" t="inlineStr">
        <is>
          <t>HTML</t>
        </is>
      </c>
      <c r="I24" s="16" t="inlineStr">
        <is>
          <t>Сезонно</t>
        </is>
      </c>
      <c r="J24" s="16" t="n">
        <v>2</v>
      </c>
      <c r="K24" s="17" t="inlineStr">
        <is>
          <t>да</t>
        </is>
      </c>
      <c r="L24" s="16" t="inlineStr">
        <is>
          <t>Этап 5: ежегодное — Lent/May Bumps — сезонно; RSS новостей есть; даты — через recurring_events</t>
        </is>
      </c>
      <c r="M24" s="10" t="inlineStr">
        <is>
          <t>https://www.cucbc.org/rss.xml</t>
        </is>
      </c>
      <c r="N24" s="10" t="inlineStr">
        <is>
          <t>разрешено</t>
        </is>
      </c>
      <c r="O24" s="10" t="inlineStr">
        <is>
          <t>2026-09-28</t>
        </is>
      </c>
    </row>
    <row r="25" ht="23.85" customHeight="1" s="11">
      <c r="A25" s="16" t="inlineStr">
        <is>
          <t>S024</t>
        </is>
      </c>
      <c r="B25" s="16" t="inlineStr">
        <is>
          <t>Спорт — смотреть</t>
        </is>
      </c>
      <c r="C25" s="16" t="inlineStr">
        <is>
          <t>Town Bumps (Cambridgeshire Rowing Association)</t>
        </is>
      </c>
      <c r="D25" s="16" t="inlineStr">
        <is>
          <t>Организатор</t>
        </is>
      </c>
      <c r="E25" s="17" t="n"/>
      <c r="F25" s="16" t="inlineStr">
        <is>
          <t>Городские гонки гребных лодок, лето</t>
        </is>
      </c>
      <c r="G25" s="16" t="inlineStr">
        <is>
          <t>Центр</t>
        </is>
      </c>
      <c r="H25" s="16" t="inlineStr">
        <is>
          <t>HTML</t>
        </is>
      </c>
      <c r="I25" s="16" t="inlineStr">
        <is>
          <t>Сезонно</t>
        </is>
      </c>
      <c r="J25" s="16" t="n">
        <v>3</v>
      </c>
      <c r="K25" s="17" t="inlineStr">
        <is>
          <t>нет</t>
        </is>
      </c>
      <c r="L25" s="16" t="inlineStr">
        <is>
          <t>Этап 6: ежегодное — Town Bumps: сайт Cambridgeshire Rowing Association отвечает 502; летние Town Bumps — в бэклог recurring (дата вручную)</t>
        </is>
      </c>
      <c r="O25" t="inlineStr">
        <is>
          <t>2026-09-28</t>
        </is>
      </c>
    </row>
    <row r="26" ht="15" customHeight="1" s="11">
      <c r="A26" s="18" t="inlineStr">
        <is>
          <t>S025</t>
        </is>
      </c>
      <c r="B26" s="16" t="inlineStr">
        <is>
          <t>Спорт — смотреть</t>
        </is>
      </c>
      <c r="C26" s="16" t="inlineStr">
        <is>
          <t>Varsity-матчи (Oxford vs Cambridge)</t>
        </is>
      </c>
      <c r="D26" s="16" t="inlineStr">
        <is>
          <t>Организатор</t>
        </is>
      </c>
      <c r="E26" s="17" t="n"/>
      <c r="F26" s="16" t="inlineStr">
        <is>
          <t>Регби, гребля и др. дерби университетов</t>
        </is>
      </c>
      <c r="G26" s="16" t="inlineStr">
        <is>
          <t>Центр + Лондон</t>
        </is>
      </c>
      <c r="H26" s="16" t="inlineStr">
        <is>
          <t>Ручной (календарь)</t>
        </is>
      </c>
      <c r="I26" s="16" t="inlineStr">
        <is>
          <t>Ежегодно</t>
        </is>
      </c>
      <c r="J26" s="16" t="n">
        <v>3</v>
      </c>
      <c r="K26" s="17" t="inlineStr">
        <is>
          <t>—</t>
        </is>
      </c>
      <c r="L26" s="16" t="inlineStr">
        <is>
          <t>Этап 6: вручную — Varsity-матчи: календарь вручную (даты публикуются университетскими клубами), крупные — через статьи</t>
        </is>
      </c>
      <c r="O26" t="inlineStr">
        <is>
          <t>2026-09-28</t>
        </is>
      </c>
    </row>
    <row r="27" ht="15" customHeight="1" s="11">
      <c r="A27" s="16" t="inlineStr">
        <is>
          <t>S026</t>
        </is>
      </c>
      <c r="B27" s="16" t="inlineStr">
        <is>
          <t>Спорт — участвовать</t>
        </is>
      </c>
      <c r="C27" s="16" t="inlineStr">
        <is>
          <t>Chariots of Fire</t>
        </is>
      </c>
      <c r="D27" s="16" t="inlineStr">
        <is>
          <t>Организатор</t>
        </is>
      </c>
      <c r="E27" s="16" t="inlineStr">
        <is>
          <t>https://www.chariots-of-fire.co.uk/</t>
        </is>
      </c>
      <c r="F27" s="16" t="inlineStr">
        <is>
          <t>Благотворительная эстафета, сентябрь</t>
        </is>
      </c>
      <c r="G27" s="16" t="inlineStr">
        <is>
          <t>Центр</t>
        </is>
      </c>
      <c r="H27" s="16" t="inlineStr">
        <is>
          <t>JSON-LD (RunThrough)</t>
        </is>
      </c>
      <c r="I27" s="16" t="inlineStr">
        <is>
          <t>Ежегодно</t>
        </is>
      </c>
      <c r="J27" s="16" t="n">
        <v>1</v>
      </c>
      <c r="K27" s="16" t="inlineStr">
        <is>
          <t>да</t>
        </is>
      </c>
      <c r="L27" s="16" t="inlineStr">
        <is>
          <t>Регистрация через RunThrough. v0.4: ежегодно; JSON-LD Event на странице RunThrough; /feed/ сайта — новости Этап 6: ежегодное — через recurring_events (R11)</t>
        </is>
      </c>
      <c r="M27" s="10" t="inlineStr">
        <is>
          <t>https://www.runthrough.co.uk/event/chariots-of-fire-september-2026</t>
        </is>
      </c>
      <c r="N27" s="10" t="inlineStr">
        <is>
          <t>разрешено</t>
        </is>
      </c>
      <c r="O27" s="10" t="inlineStr">
        <is>
          <t>2026-09-28</t>
        </is>
      </c>
    </row>
    <row r="28" ht="23.85" customHeight="1" s="11">
      <c r="A28" s="30" t="inlineStr">
        <is>
          <t>S027</t>
        </is>
      </c>
      <c r="B28" s="16" t="inlineStr">
        <is>
          <t>Спорт — участвовать</t>
        </is>
      </c>
      <c r="C28" s="16" t="inlineStr">
        <is>
          <t>RunThrough — события в Кембридже</t>
        </is>
      </c>
      <c r="D28" s="16" t="inlineStr">
        <is>
          <t>Организатор / регистрация</t>
        </is>
      </c>
      <c r="E28" s="16" t="inlineStr">
        <is>
          <t>https://www.runthrough.co.uk</t>
        </is>
      </c>
      <c r="F28" s="16" t="inlineStr">
        <is>
          <t>Забеги, эстафеты</t>
        </is>
      </c>
      <c r="G28" s="16" t="inlineStr">
        <is>
          <t>Центр + 30 мин</t>
        </is>
      </c>
      <c r="H28" s="16" t="inlineStr">
        <is>
          <t>HTML</t>
        </is>
      </c>
      <c r="I28" s="16" t="inlineStr">
        <is>
          <t>Еженедельно</t>
        </is>
      </c>
      <c r="J28" s="16" t="n">
        <v>2</v>
      </c>
      <c r="K28" s="16" t="inlineStr">
        <is>
          <t>да</t>
        </is>
      </c>
      <c r="L28" s="16" t="inlineStr">
        <is>
          <t>Этап 5: подключён — JSON-LD SportsEvent, но список — 24 ближайших забега по стране; сейчас в регионе 0 (фильтр по почтовым зонам). Ценность низкая — пересмотреть на этапе 6</t>
        </is>
      </c>
      <c r="M28" s="10" t="inlineStr">
        <is>
          <t>https://www.runthrough.co.uk/events-timeline</t>
        </is>
      </c>
      <c r="N28" s="10" t="inlineStr">
        <is>
          <t>разрешено</t>
        </is>
      </c>
      <c r="O28" s="10" t="inlineStr">
        <is>
          <t>2026-09-28</t>
        </is>
      </c>
    </row>
    <row r="29" ht="15" customHeight="1" s="11">
      <c r="A29" s="16" t="inlineStr">
        <is>
          <t>S028</t>
        </is>
      </c>
      <c r="B29" s="16" t="inlineStr">
        <is>
          <t>Спорт — участвовать</t>
        </is>
      </c>
      <c r="C29" s="16" t="inlineStr">
        <is>
          <t>Cambridge Half Marathon</t>
        </is>
      </c>
      <c r="D29" s="16" t="inlineStr">
        <is>
          <t>Организатор</t>
        </is>
      </c>
      <c r="E29" s="16" t="inlineStr">
        <is>
          <t>https://cambridgehalfmarathon.com/</t>
        </is>
      </c>
      <c r="F29" s="16" t="inlineStr">
        <is>
          <t>Полумарафон, март</t>
        </is>
      </c>
      <c r="G29" s="16" t="inlineStr">
        <is>
          <t>Центр</t>
        </is>
      </c>
      <c r="H29" s="16" t="inlineStr">
        <is>
          <t>HTML</t>
        </is>
      </c>
      <c r="I29" s="16" t="inlineStr">
        <is>
          <t>Ежегодно</t>
        </is>
      </c>
      <c r="J29" s="16" t="n">
        <v>1</v>
      </c>
      <c r="K29" s="16" t="inlineStr">
        <is>
          <t>да</t>
        </is>
      </c>
      <c r="L29" s="16" t="inlineStr">
        <is>
          <t>Важен и для рубрики «Практическое» — перекрытия Этап 6: ежегодное — через recurring_events (R03)</t>
        </is>
      </c>
      <c r="M29" s="10" t="inlineStr">
        <is>
          <t>https://cambridgehalfmarathon.com/</t>
        </is>
      </c>
      <c r="N29" s="10" t="inlineStr">
        <is>
          <t>разрешено</t>
        </is>
      </c>
      <c r="O29" s="10" t="inlineStr">
        <is>
          <t>2026-09-28</t>
        </is>
      </c>
    </row>
    <row r="30" ht="23.85" customHeight="1" s="11">
      <c r="A30" s="31" t="inlineStr">
        <is>
          <t>S029</t>
        </is>
      </c>
      <c r="B30" s="16" t="inlineStr">
        <is>
          <t>Спорт — участвовать</t>
        </is>
      </c>
      <c r="C30" s="16" t="inlineStr">
        <is>
          <t>Let's Do This — Cambridgeshire</t>
        </is>
      </c>
      <c r="D30" s="16" t="inlineStr">
        <is>
          <t>Агрегатор / регистрация</t>
        </is>
      </c>
      <c r="E30" s="16" t="inlineStr">
        <is>
          <t>https://www.letsdothis.com</t>
        </is>
      </c>
      <c r="F30" s="16" t="inlineStr">
        <is>
          <t>Забеги, триатлоны, велозаезды</t>
        </is>
      </c>
      <c r="G30" s="16" t="inlineStr">
        <is>
          <t>Час</t>
        </is>
      </c>
      <c r="H30" s="16" t="inlineStr">
        <is>
          <t>HTML</t>
        </is>
      </c>
      <c r="I30" s="16" t="inlineStr">
        <is>
          <t>Еженедельно</t>
        </is>
      </c>
      <c r="J30" s="16" t="n">
        <v>2</v>
      </c>
      <c r="K30" s="16" t="inlineStr">
        <is>
          <t>нет</t>
        </is>
      </c>
      <c r="L30" s="16" t="inlineStr">
        <is>
          <t>Этап 5: закрыт — robots.txt отвечает 403</t>
        </is>
      </c>
      <c r="N30" s="10" t="inlineStr">
        <is>
          <t>—</t>
        </is>
      </c>
      <c r="O30" s="10" t="inlineStr">
        <is>
          <t>2026-09-28</t>
        </is>
      </c>
    </row>
    <row r="31" ht="15" customHeight="1" s="11">
      <c r="A31" s="16" t="inlineStr">
        <is>
          <t>S030</t>
        </is>
      </c>
      <c r="B31" s="16" t="inlineStr">
        <is>
          <t>Фестивали</t>
        </is>
      </c>
      <c r="C31" s="16" t="inlineStr">
        <is>
          <t>Cambridge Festival (университет)</t>
        </is>
      </c>
      <c r="D31" s="16" t="inlineStr">
        <is>
          <t>Организатор</t>
        </is>
      </c>
      <c r="E31" s="16" t="inlineStr">
        <is>
          <t>https://www.festival.cam.ac.uk/events</t>
        </is>
      </c>
      <c r="F31" s="16" t="inlineStr">
        <is>
          <t>Наука, гуманитарные темы, весна</t>
        </is>
      </c>
      <c r="G31" s="16" t="inlineStr">
        <is>
          <t>Центр</t>
        </is>
      </c>
      <c r="H31" s="16" t="inlineStr">
        <is>
          <t>HTML (curl, пауза 10 с)</t>
        </is>
      </c>
      <c r="I31" s="16" t="inlineStr">
        <is>
          <t>Сезонно</t>
        </is>
      </c>
      <c r="J31" s="16" t="n">
        <v>1</v>
      </c>
      <c r="K31" s="16" t="inlineStr">
        <is>
          <t>да</t>
        </is>
      </c>
      <c r="L31" s="16" t="inlineStr">
        <is>
          <t>v0.4: решение после этапа 1: собирать через curl с честным User-Agent и паузой 10 с (robots.txt разрешает, Crawl-delay 10); под браузер не маскироваться; фестиваль в марте Этап 6: ежегодное — Cambridge Festival — весна; дата через recurring_events (R04); коллектор программы — перед фестивалем (март)</t>
        </is>
      </c>
      <c r="M31" s="10" t="inlineStr">
        <is>
          <t>https://www.festival.cam.ac.uk/events</t>
        </is>
      </c>
      <c r="N31" s="10" t="inlineStr">
        <is>
          <t>разрешено, Crawl-delay 10</t>
        </is>
      </c>
      <c r="O31" s="10" t="inlineStr">
        <is>
          <t>2026-09-28</t>
        </is>
      </c>
    </row>
    <row r="32" ht="15" customHeight="1" s="11">
      <c r="A32" s="16" t="inlineStr">
        <is>
          <t>S031</t>
        </is>
      </c>
      <c r="B32" s="16" t="inlineStr">
        <is>
          <t>Фестивали</t>
        </is>
      </c>
      <c r="C32" s="16" t="inlineStr">
        <is>
          <t>Cambridge Folk Festival</t>
        </is>
      </c>
      <c r="D32" s="16" t="inlineStr">
        <is>
          <t>Организатор</t>
        </is>
      </c>
      <c r="E32" s="16" t="inlineStr">
        <is>
          <t>https://www.cambridgefolkfestival.co.uk/</t>
        </is>
      </c>
      <c r="F32" s="16" t="inlineStr">
        <is>
          <t>Фолк-фестиваль, лето</t>
        </is>
      </c>
      <c r="G32" s="16" t="inlineStr">
        <is>
          <t>Центр</t>
        </is>
      </c>
      <c r="H32" s="16" t="inlineStr">
        <is>
          <t>HTML</t>
        </is>
      </c>
      <c r="I32" s="16" t="inlineStr">
        <is>
          <t>Ежегодно</t>
        </is>
      </c>
      <c r="J32" s="16" t="n">
        <v>1</v>
      </c>
      <c r="K32" s="16" t="inlineStr">
        <is>
          <t>да</t>
        </is>
      </c>
      <c r="L32" s="16" t="inlineStr">
        <is>
          <t>v0.4: ежегодно; cambridgelive.org.uk/folk-festival → cambridgefolkfestival.co.uk Этап 6: ежегодное — через recurring_events (R09)</t>
        </is>
      </c>
      <c r="M32" s="10" t="inlineStr">
        <is>
          <t>https://www.cambridgefolkfestival.co.uk/</t>
        </is>
      </c>
      <c r="N32" s="10" t="inlineStr">
        <is>
          <t>разрешено</t>
        </is>
      </c>
      <c r="O32" s="10" t="inlineStr">
        <is>
          <t>2026-09-28</t>
        </is>
      </c>
    </row>
    <row r="33" ht="15" customHeight="1" s="11">
      <c r="A33" s="16" t="inlineStr">
        <is>
          <t>S032</t>
        </is>
      </c>
      <c r="B33" s="16" t="inlineStr">
        <is>
          <t>Фестивали</t>
        </is>
      </c>
      <c r="C33" s="16" t="inlineStr">
        <is>
          <t>Cambridge Beer Festival</t>
        </is>
      </c>
      <c r="D33" s="16" t="inlineStr">
        <is>
          <t>Организатор</t>
        </is>
      </c>
      <c r="E33" s="16" t="inlineStr">
        <is>
          <t>https://www.cambridgebeerfestival.com</t>
        </is>
      </c>
      <c r="F33" s="16" t="inlineStr">
        <is>
          <t>Пивной фестиваль CAMRA, май</t>
        </is>
      </c>
      <c r="G33" s="16" t="inlineStr">
        <is>
          <t>Центр</t>
        </is>
      </c>
      <c r="H33" s="16" t="inlineStr">
        <is>
          <t>iCal</t>
        </is>
      </c>
      <c r="I33" s="16" t="inlineStr">
        <is>
          <t>Ежегодно</t>
        </is>
      </c>
      <c r="J33" s="16" t="n">
        <v>1</v>
      </c>
      <c r="K33" s="16" t="inlineStr">
        <is>
          <t>да</t>
        </is>
      </c>
      <c r="L33" s="16" t="n"/>
      <c r="M33" s="10" t="inlineStr">
        <is>
          <t>https://www.cambridgebeerfestival.com/events/?ical=1</t>
        </is>
      </c>
      <c r="N33" s="10" t="inlineStr">
        <is>
          <t>разрешено</t>
        </is>
      </c>
      <c r="O33" s="10" t="inlineStr">
        <is>
          <t>2026-09-27</t>
        </is>
      </c>
    </row>
    <row r="34" ht="23.85" customHeight="1" s="11">
      <c r="A34" s="16" t="inlineStr">
        <is>
          <t>S033</t>
        </is>
      </c>
      <c r="B34" s="16" t="inlineStr">
        <is>
          <t>Фестивали</t>
        </is>
      </c>
      <c r="C34" s="16" t="inlineStr">
        <is>
          <t>Strawberry Fair</t>
        </is>
      </c>
      <c r="D34" s="16" t="inlineStr">
        <is>
          <t>Организатор</t>
        </is>
      </c>
      <c r="E34" s="16" t="inlineStr">
        <is>
          <t>https://strawberry-fair.org.uk/</t>
        </is>
      </c>
      <c r="F34" s="16" t="inlineStr">
        <is>
          <t>Бесплатный фестиваль на Midsummer Common, июнь</t>
        </is>
      </c>
      <c r="G34" s="16" t="inlineStr">
        <is>
          <t>Центр</t>
        </is>
      </c>
      <c r="H34" s="16" t="inlineStr">
        <is>
          <t>JSON-LD</t>
        </is>
      </c>
      <c r="I34" s="16" t="inlineStr">
        <is>
          <t>Ежегодно</t>
        </is>
      </c>
      <c r="J34" s="16" t="n">
        <v>1</v>
      </c>
      <c r="K34" s="16" t="inlineStr">
        <is>
          <t>да</t>
        </is>
      </c>
      <c r="L34" s="16" t="inlineStr">
        <is>
          <t>Бывали отмены — мониторить. v0.4: JSON-LD Event на главной; /feed/ отдаёт HTML, фида нет</t>
        </is>
      </c>
      <c r="M34" s="10" t="inlineStr">
        <is>
          <t>https://strawberry-fair.org.uk/</t>
        </is>
      </c>
      <c r="N34" s="10" t="inlineStr">
        <is>
          <t>разрешено</t>
        </is>
      </c>
      <c r="O34" s="10" t="inlineStr">
        <is>
          <t>2026-09-27</t>
        </is>
      </c>
    </row>
    <row r="35" ht="15" customHeight="1" s="11">
      <c r="A35" s="16" t="inlineStr">
        <is>
          <t>S034</t>
        </is>
      </c>
      <c r="B35" s="16" t="inlineStr">
        <is>
          <t>Фестивали</t>
        </is>
      </c>
      <c r="C35" s="16" t="inlineStr">
        <is>
          <t>Whittlesea Straw Bear Festival</t>
        </is>
      </c>
      <c r="D35" s="16" t="inlineStr">
        <is>
          <t>Организатор</t>
        </is>
      </c>
      <c r="E35" s="17" t="n"/>
      <c r="F35" s="16" t="inlineStr">
        <is>
          <t>Средневековый зимний фестиваль, январь</t>
        </is>
      </c>
      <c r="G35" s="16" t="inlineStr">
        <is>
          <t>Час</t>
        </is>
      </c>
      <c r="H35" s="16" t="inlineStr">
        <is>
          <t>Ручной + Peterborough Telegraph</t>
        </is>
      </c>
      <c r="I35" s="16" t="inlineStr">
        <is>
          <t>Ежегодно</t>
        </is>
      </c>
      <c r="J35" s="16" t="n">
        <v>2</v>
      </c>
      <c r="K35" s="17" t="inlineStr">
        <is>
          <t>да</t>
        </is>
      </c>
      <c r="L35" s="16" t="inlineStr">
        <is>
          <t>Этап 5: ежегодное — уже в recurring_events (R01)</t>
        </is>
      </c>
      <c r="M35" s="10" t="inlineStr">
        <is>
          <t>https://www.strawbear.org.uk</t>
        </is>
      </c>
      <c r="N35" s="10" t="inlineStr">
        <is>
          <t>разрешено</t>
        </is>
      </c>
      <c r="O35" s="10" t="inlineStr">
        <is>
          <t>2026-09-28</t>
        </is>
      </c>
    </row>
    <row r="36" ht="15" customHeight="1" s="11">
      <c r="A36" s="16" t="inlineStr">
        <is>
          <t>S035</t>
        </is>
      </c>
      <c r="B36" s="16" t="inlineStr">
        <is>
          <t>Фестивали</t>
        </is>
      </c>
      <c r="C36" s="16" t="inlineStr">
        <is>
          <t>Cambridge Film Festival</t>
        </is>
      </c>
      <c r="D36" s="16" t="inlineStr">
        <is>
          <t>Организатор</t>
        </is>
      </c>
      <c r="E36" s="17" t="n"/>
      <c r="F36" s="16" t="inlineStr">
        <is>
          <t>Кинофестиваль, осень</t>
        </is>
      </c>
      <c r="G36" s="16" t="inlineStr">
        <is>
          <t>Центр</t>
        </is>
      </c>
      <c r="H36" s="16" t="inlineStr">
        <is>
          <t>Ручной (ежегодно)</t>
        </is>
      </c>
      <c r="I36" s="16" t="inlineStr">
        <is>
          <t>Ежегодно</t>
        </is>
      </c>
      <c r="J36" s="16" t="n">
        <v>2</v>
      </c>
      <c r="K36" s="17" t="inlineStr">
        <is>
          <t>да</t>
        </is>
      </c>
      <c r="L36" s="16" t="inlineStr">
        <is>
          <t>Этап 5: ежегодное — фестиваль раз в год (осень); HTML без фида — предлагаю добавить в recurring_events</t>
        </is>
      </c>
      <c r="M36" s="10" t="inlineStr">
        <is>
          <t>https://www.cambridgefilmfestival.org.uk</t>
        </is>
      </c>
      <c r="N36" s="10" t="inlineStr">
        <is>
          <t>разрешено</t>
        </is>
      </c>
      <c r="O36" s="10" t="inlineStr">
        <is>
          <t>2026-09-28</t>
        </is>
      </c>
    </row>
    <row r="37" ht="15" customHeight="1" s="11">
      <c r="A37" s="31" t="inlineStr">
        <is>
          <t>S036</t>
        </is>
      </c>
      <c r="B37" s="16" t="inlineStr">
        <is>
          <t>Фестивали</t>
        </is>
      </c>
      <c r="C37" s="16" t="inlineStr">
        <is>
          <t>Cambridge Literary Festival</t>
        </is>
      </c>
      <c r="D37" s="16" t="inlineStr">
        <is>
          <t>Организатор</t>
        </is>
      </c>
      <c r="E37" s="17" t="n"/>
      <c r="F37" s="16" t="inlineStr">
        <is>
          <t>Литфестиваль, весна и осень</t>
        </is>
      </c>
      <c r="G37" s="16" t="inlineStr">
        <is>
          <t>Центр</t>
        </is>
      </c>
      <c r="H37" s="16" t="inlineStr">
        <is>
          <t>HTML</t>
        </is>
      </c>
      <c r="I37" s="16" t="inlineStr">
        <is>
          <t>Сезонно</t>
        </is>
      </c>
      <c r="J37" s="16" t="n">
        <v>2</v>
      </c>
      <c r="K37" s="17" t="inlineStr">
        <is>
          <t>нет</t>
        </is>
      </c>
      <c r="L37" s="16" t="inlineStr">
        <is>
          <t>Этап 5: закрыт — 403 на сайт и /events</t>
        </is>
      </c>
      <c r="N37" s="10" t="inlineStr">
        <is>
          <t>—</t>
        </is>
      </c>
      <c r="O37" s="10" t="inlineStr">
        <is>
          <t>2026-09-28</t>
        </is>
      </c>
    </row>
    <row r="38" ht="23.85" customHeight="1" s="11">
      <c r="A38" s="16" t="inlineStr">
        <is>
          <t>S037</t>
        </is>
      </c>
      <c r="B38" s="16" t="inlineStr">
        <is>
          <t>Фестивали</t>
        </is>
      </c>
      <c r="C38" s="16" t="inlineStr">
        <is>
          <t>Cambridge Science Festival / семейные программы</t>
        </is>
      </c>
      <c r="D38" s="16" t="inlineStr">
        <is>
          <t>Организатор</t>
        </is>
      </c>
      <c r="E38" s="17" t="n"/>
      <c r="F38" s="16" t="inlineStr">
        <is>
          <t>См. Cambridge Festival</t>
        </is>
      </c>
      <c r="G38" s="16" t="inlineStr">
        <is>
          <t>Центр</t>
        </is>
      </c>
      <c r="H38" s="16" t="inlineStr">
        <is>
          <t>—</t>
        </is>
      </c>
      <c r="I38" s="16" t="inlineStr">
        <is>
          <t>—</t>
        </is>
      </c>
      <c r="J38" s="16" t="n">
        <v>3</v>
      </c>
      <c r="K38" s="17" t="inlineStr">
        <is>
          <t>—</t>
        </is>
      </c>
      <c r="L38" s="16" t="inlineStr">
        <is>
          <t>Дубль — проверить, не слит ли с Cambridge Festival Этап 6: не нужен — Cambridge Science Festival слит с Cambridge Festival — дубль R04</t>
        </is>
      </c>
      <c r="O38" t="inlineStr">
        <is>
          <t>2026-09-28</t>
        </is>
      </c>
    </row>
    <row r="39" ht="23.85" customHeight="1" s="11">
      <c r="A39" s="16" t="inlineStr">
        <is>
          <t>S038</t>
        </is>
      </c>
      <c r="B39" s="16" t="inlineStr">
        <is>
          <t>Ярмарки</t>
        </is>
      </c>
      <c r="C39" s="16" t="inlineStr">
        <is>
          <t>Mill Road Winter Fair</t>
        </is>
      </c>
      <c r="D39" s="16" t="inlineStr">
        <is>
          <t>Организатор</t>
        </is>
      </c>
      <c r="E39" s="16" t="inlineStr">
        <is>
          <t>https://www.millroadwinterfair.org</t>
        </is>
      </c>
      <c r="F39" s="16" t="inlineStr">
        <is>
          <t>Уличная ярмарка, первая суббота декабря; Mill Road Fringe в течение года</t>
        </is>
      </c>
      <c r="G39" s="16" t="inlineStr">
        <is>
          <t>Центр</t>
        </is>
      </c>
      <c r="H39" s="16" t="inlineStr">
        <is>
          <t>RSS</t>
        </is>
      </c>
      <c r="I39" s="16" t="inlineStr">
        <is>
          <t>Еженедельно в сезон</t>
        </is>
      </c>
      <c r="J39" s="16" t="n">
        <v>1</v>
      </c>
      <c r="K39" s="16" t="inlineStr">
        <is>
          <t>да</t>
        </is>
      </c>
      <c r="L39" s="16" t="inlineStr">
        <is>
          <t>Отмены публикуются в соцсетях — нужен контур отмен. v0.4: RSS — новости ярмарки; дату (5.12.2026) и отмены сверять по главной</t>
        </is>
      </c>
      <c r="M39" s="10" t="inlineStr">
        <is>
          <t>https://www.millroadwinterfair.org/feed/</t>
        </is>
      </c>
      <c r="N39" s="10" t="inlineStr">
        <is>
          <t>разрешено</t>
        </is>
      </c>
      <c r="O39" s="10" t="inlineStr">
        <is>
          <t>2026-09-27</t>
        </is>
      </c>
    </row>
    <row r="40" ht="15" customHeight="1" s="11">
      <c r="A40" s="16" t="inlineStr">
        <is>
          <t>S039</t>
        </is>
      </c>
      <c r="B40" s="16" t="inlineStr">
        <is>
          <t>Ярмарки</t>
        </is>
      </c>
      <c r="C40" s="16" t="inlineStr">
        <is>
          <t>Рождественские маркеты в центре</t>
        </is>
      </c>
      <c r="D40" s="16" t="inlineStr">
        <is>
          <t>Организатор</t>
        </is>
      </c>
      <c r="E40" s="16" t="inlineStr">
        <is>
          <t>https://www.christmasincambridge.co.uk/</t>
        </is>
      </c>
      <c r="F40" s="16" t="inlineStr">
        <is>
          <t>Сезонные рынки</t>
        </is>
      </c>
      <c r="G40" s="16" t="inlineStr">
        <is>
          <t>Центр</t>
        </is>
      </c>
      <c r="H40" s="16" t="inlineStr">
        <is>
          <t>HTML</t>
        </is>
      </c>
      <c r="I40" s="16" t="inlineStr">
        <is>
          <t>Сезонно</t>
        </is>
      </c>
      <c r="J40" s="16" t="n">
        <v>1</v>
      </c>
      <c r="K40" s="16" t="inlineStr">
        <is>
          <t>да</t>
        </is>
      </c>
      <c r="L40" s="16" t="inlineStr">
        <is>
          <t>v0.4: сезонно (ноябрь–декабрь); фидов нет Этап 6: ежегодное — Christmas in Cambridge (Parker's Piece: каток, маркет, колесо) — recurring R21, дата со страницы (13.11.2026 – 3.01.2027)</t>
        </is>
      </c>
      <c r="M40" s="10" t="inlineStr">
        <is>
          <t>https://www.christmasincambridge.co.uk/</t>
        </is>
      </c>
      <c r="N40" s="10" t="inlineStr">
        <is>
          <t>разрешено</t>
        </is>
      </c>
      <c r="O40" s="10" t="inlineStr">
        <is>
          <t>2026-09-28</t>
        </is>
      </c>
    </row>
    <row r="41" ht="23.85" customHeight="1" s="11">
      <c r="A41" s="16" t="inlineStr">
        <is>
          <t>S040</t>
        </is>
      </c>
      <c r="B41" s="16" t="inlineStr">
        <is>
          <t>Ярмарки</t>
        </is>
      </c>
      <c r="C41" s="16" t="inlineStr">
        <is>
          <t>Деревенские fetes и летние ярмарки</t>
        </is>
      </c>
      <c r="D41" s="16" t="inlineStr">
        <is>
          <t>Организатор</t>
        </is>
      </c>
      <c r="E41" s="17" t="n"/>
      <c r="F41" s="16" t="inlineStr">
        <is>
          <t>Village fetes вокруг Кембриджа</t>
        </is>
      </c>
      <c r="G41" s="16" t="inlineStr">
        <is>
          <t>30 мин</t>
        </is>
      </c>
      <c r="H41" s="16" t="inlineStr">
        <is>
          <t>Eventbrite / Visit Cambridge / FB-группы вручную</t>
        </is>
      </c>
      <c r="I41" s="16" t="inlineStr">
        <is>
          <t>Сезонно</t>
        </is>
      </c>
      <c r="J41" s="16" t="n">
        <v>3</v>
      </c>
      <c r="K41" s="17" t="inlineStr">
        <is>
          <t>—</t>
        </is>
      </c>
      <c r="L41" s="16" t="inlineStr">
        <is>
          <t>Трудно собрать автоматически Этап 6: покрыт — деревенские fetes — через Eventbrite (S008), Visit Cambridge (S001), статьи Newsquest (S116–S119); Facebook-группы не парсим</t>
        </is>
      </c>
      <c r="O41" t="inlineStr">
        <is>
          <t>2026-09-28</t>
        </is>
      </c>
    </row>
    <row r="42" ht="15" customHeight="1" s="11">
      <c r="A42" s="16" t="inlineStr">
        <is>
          <t>S041</t>
        </is>
      </c>
      <c r="B42" s="16" t="inlineStr">
        <is>
          <t>Театр</t>
        </is>
      </c>
      <c r="C42" s="16" t="inlineStr">
        <is>
          <t>Cambridge Arts Theatre</t>
        </is>
      </c>
      <c r="D42" s="16" t="inlineStr">
        <is>
          <t>Площадка</t>
        </is>
      </c>
      <c r="E42" s="18" t="inlineStr">
        <is>
          <t>https://www.artstheatre.co.uk</t>
        </is>
      </c>
      <c r="F42" s="16" t="inlineStr">
        <is>
          <t>Драма, мюзиклы, пантомима</t>
        </is>
      </c>
      <c r="G42" s="16" t="inlineStr">
        <is>
          <t>Центр</t>
        </is>
      </c>
      <c r="H42" s="16" t="inlineStr">
        <is>
          <t>Через Ents24 (S006)</t>
        </is>
      </c>
      <c r="I42" s="16" t="inlineStr">
        <is>
          <t>Ежедневно</t>
        </is>
      </c>
      <c r="J42" s="16" t="n">
        <v>1</v>
      </c>
      <c r="K42" s="18" t="inlineStr">
        <is>
          <t>нет</t>
        </is>
      </c>
      <c r="L42" s="16" t="inlineStr">
        <is>
          <t>v0.4: решение после этапа 1: защиту не обходим; афишу Arts Theatre берём из Ents24. Домен: cambridgeartstheatre.com → artstheatre.co.uk Этап 6: покрыт — защита от ботов; афиша — через Ents24 (S006)</t>
        </is>
      </c>
      <c r="N42" s="10" t="inlineStr">
        <is>
          <t>разрешено</t>
        </is>
      </c>
      <c r="O42" s="10" t="inlineStr">
        <is>
          <t>2026-09-28</t>
        </is>
      </c>
    </row>
    <row r="43" ht="15" customHeight="1" s="11">
      <c r="A43" s="16" t="inlineStr">
        <is>
          <t>S042</t>
        </is>
      </c>
      <c r="B43" s="16" t="inlineStr">
        <is>
          <t>Театр</t>
        </is>
      </c>
      <c r="C43" s="16" t="inlineStr">
        <is>
          <t>ADC Theatre</t>
        </is>
      </c>
      <c r="D43" s="16" t="inlineStr">
        <is>
          <t>Площадка</t>
        </is>
      </c>
      <c r="E43" s="16" t="inlineStr">
        <is>
          <t>https://www.adctheatre.com</t>
        </is>
      </c>
      <c r="F43" s="16" t="inlineStr">
        <is>
          <t>Студенческий театр, комедия (Footlights)</t>
        </is>
      </c>
      <c r="G43" s="16" t="inlineStr">
        <is>
          <t>Центр</t>
        </is>
      </c>
      <c r="H43" s="16" t="inlineStr">
        <is>
          <t>iCal</t>
        </is>
      </c>
      <c r="I43" s="16" t="inlineStr">
        <is>
          <t>Еженедельно</t>
        </is>
      </c>
      <c r="J43" s="16" t="n">
        <v>1</v>
      </c>
      <c r="K43" s="16" t="inlineStr">
        <is>
          <t>да</t>
        </is>
      </c>
      <c r="L43" s="16" t="inlineStr">
        <is>
          <t>Дёшево и часто — хорош для рубрики «недорого». v0.4: афиша ADC ведётся в Camdram: iCal /venues/adc-theatre/diary.ics и JSON diary.json; билеты — Spektrix</t>
        </is>
      </c>
      <c r="M43" s="10" t="inlineStr">
        <is>
          <t>https://www.camdram.net/venues/adc-theatre/diary.ics</t>
        </is>
      </c>
      <c r="N43" s="10" t="inlineStr">
        <is>
          <t>разрешено</t>
        </is>
      </c>
      <c r="O43" s="10" t="inlineStr">
        <is>
          <t>2026-09-27</t>
        </is>
      </c>
    </row>
    <row r="44" ht="15" customHeight="1" s="11">
      <c r="A44" s="30" t="inlineStr">
        <is>
          <t>S043</t>
        </is>
      </c>
      <c r="B44" s="16" t="inlineStr">
        <is>
          <t>Театр</t>
        </is>
      </c>
      <c r="C44" s="16" t="inlineStr">
        <is>
          <t>Mumford Theatre (ARU)</t>
        </is>
      </c>
      <c r="D44" s="16" t="inlineStr">
        <is>
          <t>Площадка</t>
        </is>
      </c>
      <c r="E44" s="17" t="n"/>
      <c r="F44" s="16" t="inlineStr">
        <is>
          <t>Любительский и гастрольный театр</t>
        </is>
      </c>
      <c r="G44" s="16" t="inlineStr">
        <is>
          <t>Центр</t>
        </is>
      </c>
      <c r="H44" s="16" t="inlineStr">
        <is>
          <t>HTML</t>
        </is>
      </c>
      <c r="I44" s="16" t="inlineStr">
        <is>
          <t>Еженедельно</t>
        </is>
      </c>
      <c r="J44" s="16" t="n">
        <v>3</v>
      </c>
      <c r="K44" s="17" t="inlineStr">
        <is>
          <t>да</t>
        </is>
      </c>
      <c r="L44" s="16" t="inlineStr">
        <is>
          <t>Этап 6: подключён — Mumford Theatre (ARU): афиша на Eventbrite (страница организатора), JSON-LD страниц событий; сейчас у организатора 0 предстоящих (upcomingEventsTotal: 0) — межсезонье</t>
        </is>
      </c>
      <c r="O44" t="inlineStr">
        <is>
          <t>2026-09-28</t>
        </is>
      </c>
    </row>
    <row r="45" ht="15" customHeight="1" s="11">
      <c r="A45" s="16" t="inlineStr">
        <is>
          <t>S044</t>
        </is>
      </c>
      <c r="B45" s="16" t="inlineStr">
        <is>
          <t>Театр</t>
        </is>
      </c>
      <c r="C45" s="16" t="inlineStr">
        <is>
          <t>Постановки в садах колледжей (лето)</t>
        </is>
      </c>
      <c r="D45" s="16" t="inlineStr">
        <is>
          <t>Организатор</t>
        </is>
      </c>
      <c r="E45" s="17" t="n"/>
      <c r="F45" s="16" t="inlineStr">
        <is>
          <t>Шекспир под открытым небом</t>
        </is>
      </c>
      <c r="G45" s="16" t="inlineStr">
        <is>
          <t>Центр</t>
        </is>
      </c>
      <c r="H45" s="16" t="inlineStr">
        <is>
          <t>Ручной</t>
        </is>
      </c>
      <c r="I45" s="16" t="inlineStr">
        <is>
          <t>Сезонно</t>
        </is>
      </c>
      <c r="J45" s="16" t="n">
        <v>2</v>
      </c>
      <c r="K45" s="17" t="inlineStr">
        <is>
          <t>да</t>
        </is>
      </c>
      <c r="L45" s="16" t="inlineStr">
        <is>
          <t>Этап 5: ежегодное — летний сезон постановок; ручной сезонный календарь</t>
        </is>
      </c>
      <c r="M45" s="10" t="inlineStr">
        <is>
          <t>https://cambridgeshakespeare.com/</t>
        </is>
      </c>
      <c r="N45" s="10" t="inlineStr">
        <is>
          <t>разрешено</t>
        </is>
      </c>
      <c r="O45" s="10" t="inlineStr">
        <is>
          <t>2026-09-28</t>
        </is>
      </c>
    </row>
    <row r="46" ht="15" customHeight="1" s="11">
      <c r="A46" s="16" t="inlineStr">
        <is>
          <t>S045</t>
        </is>
      </c>
      <c r="B46" s="16" t="inlineStr">
        <is>
          <t>Кино</t>
        </is>
      </c>
      <c r="C46" s="16" t="inlineStr">
        <is>
          <t>Arts Picturehouse</t>
        </is>
      </c>
      <c r="D46" s="16" t="inlineStr">
        <is>
          <t>Площадка</t>
        </is>
      </c>
      <c r="E46" s="16" t="inlineStr">
        <is>
          <t>https://www.picturehouses.com/cinema/arts-picturehouse-cambridge</t>
        </is>
      </c>
      <c r="F46" s="16" t="inlineStr">
        <is>
          <t>Арт-кино, спецпоказы, Q&amp;A</t>
        </is>
      </c>
      <c r="G46" s="16" t="inlineStr">
        <is>
          <t>Центр</t>
        </is>
      </c>
      <c r="H46" s="16" t="inlineStr">
        <is>
          <t>HTML</t>
        </is>
      </c>
      <c r="I46" s="16" t="inlineStr">
        <is>
          <t>Еженедельно</t>
        </is>
      </c>
      <c r="J46" s="16" t="n">
        <v>1</v>
      </c>
      <c r="K46" s="16" t="inlineStr">
        <is>
          <t>да</t>
        </is>
      </c>
      <c r="L46" s="16" t="inlineStr">
        <is>
          <t>Этап 6: не нужен — сеансы — только через внутренний AJAX с XSRF-токеном сессии (не используем); обычные сеансы — не события выпуска; спецпоказы приходят через Visit Cambridge, статьи и Cambridge Film Festival (recurring R17)</t>
        </is>
      </c>
      <c r="M46" s="10" t="inlineStr">
        <is>
          <t>https://www.picturehouses.com/cinema/arts-picturehouse-cambridge</t>
        </is>
      </c>
      <c r="N46" s="10" t="inlineStr">
        <is>
          <t>разрешено</t>
        </is>
      </c>
      <c r="O46" s="10" t="inlineStr">
        <is>
          <t>2026-09-28</t>
        </is>
      </c>
    </row>
    <row r="47" ht="15" customHeight="1" s="11">
      <c r="A47" s="16" t="inlineStr">
        <is>
          <t>S046</t>
        </is>
      </c>
      <c r="B47" s="16" t="inlineStr">
        <is>
          <t>Кино</t>
        </is>
      </c>
      <c r="C47" s="16" t="inlineStr">
        <is>
          <t>Кино под открытым небом (летние сезоны)</t>
        </is>
      </c>
      <c r="D47" s="16" t="inlineStr">
        <is>
          <t>Организатор</t>
        </is>
      </c>
      <c r="E47" s="17" t="n"/>
      <c r="F47" s="16" t="inlineStr">
        <is>
          <t>Летние показы в парках и колледжах</t>
        </is>
      </c>
      <c r="G47" s="16" t="inlineStr">
        <is>
          <t>Центр</t>
        </is>
      </c>
      <c r="H47" s="16" t="inlineStr">
        <is>
          <t>Ручной</t>
        </is>
      </c>
      <c r="I47" s="16" t="inlineStr">
        <is>
          <t>Сезонно</t>
        </is>
      </c>
      <c r="J47" s="16" t="n">
        <v>2</v>
      </c>
      <c r="K47" s="17" t="inlineStr">
        <is>
          <t>нет событий</t>
        </is>
      </c>
      <c r="L47" s="16" t="inlineStr">
        <is>
          <t>Этап 5: ежегодное — летние показы; адрес организатора не подтверждён — ручной сезонный</t>
        </is>
      </c>
      <c r="M47" s="10" t="inlineStr">
        <is>
          <t>https://www.cambridgefilmfestival.org.uk</t>
        </is>
      </c>
      <c r="N47" s="10" t="inlineStr">
        <is>
          <t>разрешено</t>
        </is>
      </c>
      <c r="O47" s="10" t="inlineStr">
        <is>
          <t>2026-09-28</t>
        </is>
      </c>
    </row>
    <row r="48" ht="23.85" customHeight="1" s="11">
      <c r="A48" s="16" t="inlineStr">
        <is>
          <t>S047</t>
        </is>
      </c>
      <c r="B48" s="16" t="inlineStr">
        <is>
          <t>Лекции</t>
        </is>
      </c>
      <c r="C48" s="16" t="inlineStr">
        <is>
          <t>Talks.cam</t>
        </is>
      </c>
      <c r="D48" s="16" t="inlineStr">
        <is>
          <t>Календарь</t>
        </is>
      </c>
      <c r="E48" s="16" t="inlineStr">
        <is>
          <t>https://talks.cam.ac.uk</t>
        </is>
      </c>
      <c r="F48" s="16" t="inlineStr">
        <is>
          <t>Университетские лекции и семинары; есть публичные списки</t>
        </is>
      </c>
      <c r="G48" s="16" t="inlineStr">
        <is>
          <t>Центр</t>
        </is>
      </c>
      <c r="H48" s="16" t="inlineStr">
        <is>
          <t>iCal</t>
        </is>
      </c>
      <c r="I48" s="16" t="inlineStr">
        <is>
          <t>Ежедневно</t>
        </is>
      </c>
      <c r="J48" s="16" t="n">
        <v>1</v>
      </c>
      <c r="K48" s="16" t="inlineStr">
        <is>
          <t>да</t>
        </is>
      </c>
      <c r="L48" s="16" t="inlineStr">
        <is>
          <t>Лучший технический источник: готовые фиды с датой, местом и организатором. v0.4: 5 публичных списков: 5606 Featured talks, 5462 Major Public Lectures in Cambridge, 5358 Darwin College Lecture Series, 5769 Cabinet of Natural History, 23088 CamTalks; список Fitzwilliam (12614) пуст; фиды /show/ics|rss|xml/&lt;id&gt;</t>
        </is>
      </c>
      <c r="M48" s="10" t="inlineStr">
        <is>
          <t>https://talks.cam.ac.uk/show/ics/{5606,5462,5358,5769,23088}/</t>
        </is>
      </c>
      <c r="N48" s="10" t="inlineStr">
        <is>
          <t>разрешено</t>
        </is>
      </c>
      <c r="O48" s="10" t="inlineStr">
        <is>
          <t>2026-09-27</t>
        </is>
      </c>
    </row>
    <row r="49" ht="15" customHeight="1" s="11">
      <c r="A49" s="30" t="inlineStr">
        <is>
          <t>S048</t>
        </is>
      </c>
      <c r="B49" s="16" t="inlineStr">
        <is>
          <t>Лекции</t>
        </is>
      </c>
      <c r="C49" s="16" t="inlineStr">
        <is>
          <t>University of Cambridge — What's On</t>
        </is>
      </c>
      <c r="D49" s="16" t="inlineStr">
        <is>
          <t>Календарь</t>
        </is>
      </c>
      <c r="E49" s="16" t="inlineStr">
        <is>
          <t>https://www.admin.cam.ac.uk/whatson/</t>
        </is>
      </c>
      <c r="F49" s="16" t="inlineStr">
        <is>
          <t>Публичные события университета</t>
        </is>
      </c>
      <c r="G49" s="16" t="inlineStr">
        <is>
          <t>Центр</t>
        </is>
      </c>
      <c r="H49" s="16" t="inlineStr">
        <is>
          <t>HTML</t>
        </is>
      </c>
      <c r="I49" s="16" t="inlineStr">
        <is>
          <t>Еженедельно</t>
        </is>
      </c>
      <c r="J49" s="16" t="n">
        <v>1</v>
      </c>
      <c r="K49" s="16" t="inlineStr">
        <is>
          <t>да</t>
        </is>
      </c>
      <c r="L49" s="16" t="inlineStr">
        <is>
          <t>v0.4: решение после этапа 1: уважаем Disallow на webservices.admin.cam.ac.uk; собираем HTML-страницу admin.cam.ac.uk/whatson/ (robots.txt её разрешает); лекции также покрывает talks.cam Этап 6: подключён — недельные страницы admin.cam.ac.uk/whatson (3 недели) + раздел Families; iCal/RSS на webservices закрыты robots.txt — не используем</t>
        </is>
      </c>
      <c r="M49" s="10" t="inlineStr">
        <is>
          <t>https://www.admin.cam.ac.uk/whatson/</t>
        </is>
      </c>
      <c r="N49" s="10" t="inlineStr">
        <is>
          <t>разрешено (страница); фиды — запрещено</t>
        </is>
      </c>
      <c r="O49" s="10" t="inlineStr">
        <is>
          <t>2026-09-28</t>
        </is>
      </c>
    </row>
    <row r="50" ht="15" customHeight="1" s="11">
      <c r="A50" s="16" t="inlineStr">
        <is>
          <t>S049</t>
        </is>
      </c>
      <c r="B50" s="16" t="inlineStr">
        <is>
          <t>Лекции</t>
        </is>
      </c>
      <c r="C50" s="16" t="inlineStr">
        <is>
          <t>Cambridge Union</t>
        </is>
      </c>
      <c r="D50" s="16" t="inlineStr">
        <is>
          <t>Организатор</t>
        </is>
      </c>
      <c r="E50" s="17" t="n"/>
      <c r="F50" s="16" t="inlineStr">
        <is>
          <t>Дебаты и выступления известных гостей</t>
        </is>
      </c>
      <c r="G50" s="16" t="inlineStr">
        <is>
          <t>Центр</t>
        </is>
      </c>
      <c r="H50" s="16" t="inlineStr">
        <is>
          <t>HTML</t>
        </is>
      </c>
      <c r="I50" s="16" t="inlineStr">
        <is>
          <t>Еженедельно</t>
        </is>
      </c>
      <c r="J50" s="16" t="n">
        <v>2</v>
      </c>
      <c r="K50" s="17" t="inlineStr">
        <is>
          <t>да</t>
        </is>
      </c>
      <c r="L50" s="16" t="inlineStr">
        <is>
          <t>Этап 5: не нужен — мероприятия в основном для членов Union; публичные крупные гости попадают в новости</t>
        </is>
      </c>
      <c r="M50" s="10" t="inlineStr">
        <is>
          <t>https://cus.org/feed</t>
        </is>
      </c>
      <c r="N50" s="10" t="inlineStr">
        <is>
          <t>разрешено</t>
        </is>
      </c>
      <c r="O50" s="10" t="inlineStr">
        <is>
          <t>2026-09-28</t>
        </is>
      </c>
    </row>
    <row r="51" ht="15" customHeight="1" s="11">
      <c r="A51" s="16" t="inlineStr">
        <is>
          <t>S050</t>
        </is>
      </c>
      <c r="B51" s="16" t="inlineStr">
        <is>
          <t>Выставки и музеи</t>
        </is>
      </c>
      <c r="C51" s="16" t="inlineStr">
        <is>
          <t>Fitzwilliam Museum</t>
        </is>
      </c>
      <c r="D51" s="16" t="inlineStr">
        <is>
          <t>Площадка</t>
        </is>
      </c>
      <c r="E51" s="16" t="inlineStr">
        <is>
          <t>https://fitzmuseum.cam.ac.uk/events</t>
        </is>
      </c>
      <c r="F51" s="16" t="inlineStr">
        <is>
          <t>Выставки, лекции, семейные программы</t>
        </is>
      </c>
      <c r="G51" s="16" t="inlineStr">
        <is>
          <t>Центр</t>
        </is>
      </c>
      <c r="H51" s="16" t="inlineStr">
        <is>
          <t>RSS (выставки) + HTML (события)</t>
        </is>
      </c>
      <c r="I51" s="16" t="inlineStr">
        <is>
          <t>Еженедельно</t>
        </is>
      </c>
      <c r="J51" s="16" t="n">
        <v>1</v>
      </c>
      <c r="K51" s="16" t="inlineStr">
        <is>
          <t>да</t>
        </is>
      </c>
      <c r="L51" s="16" t="inlineStr">
        <is>
          <t>v0.4: Atom-фид выставок (20 записей); события — HTML /events; /whats-on — 404</t>
        </is>
      </c>
      <c r="M51" s="10" t="inlineStr">
        <is>
          <t>https://fitzmuseum.cam.ac.uk/feeds/exhibitions</t>
        </is>
      </c>
      <c r="N51" s="10" t="inlineStr">
        <is>
          <t>разрешено</t>
        </is>
      </c>
      <c r="O51" s="10" t="inlineStr">
        <is>
          <t>2026-09-27</t>
        </is>
      </c>
    </row>
    <row r="52" ht="15" customHeight="1" s="11">
      <c r="A52" s="30" t="inlineStr">
        <is>
          <t>S051</t>
        </is>
      </c>
      <c r="B52" s="16" t="inlineStr">
        <is>
          <t>Выставки и музеи</t>
        </is>
      </c>
      <c r="C52" s="16" t="inlineStr">
        <is>
          <t>Kettle's Yard</t>
        </is>
      </c>
      <c r="D52" s="16" t="inlineStr">
        <is>
          <t>Площадка</t>
        </is>
      </c>
      <c r="E52" s="16" t="inlineStr">
        <is>
          <t>https://www.kettlesyard.cam.ac.uk/whats-on/</t>
        </is>
      </c>
      <c r="F52" s="16" t="inlineStr">
        <is>
          <t>Современное искусство, концерты, воркшопы</t>
        </is>
      </c>
      <c r="G52" s="16" t="inlineStr">
        <is>
          <t>Центр</t>
        </is>
      </c>
      <c r="H52" s="16" t="inlineStr">
        <is>
          <t>HTML</t>
        </is>
      </c>
      <c r="I52" s="16" t="inlineStr">
        <is>
          <t>Еженедельно</t>
        </is>
      </c>
      <c r="J52" s="16" t="n">
        <v>1</v>
      </c>
      <c r="K52" s="16" t="inlineStr">
        <is>
          <t>да</t>
        </is>
      </c>
      <c r="L52" s="16" t="inlineStr">
        <is>
          <t>Этап 5: подключён — приоритет 1, коллектора не было: HTML страниц событий (контрольный пример этапа 5)</t>
        </is>
      </c>
      <c r="M52" s="10" t="inlineStr">
        <is>
          <t>https://www.kettlesyard.cam.ac.uk/whats-on/</t>
        </is>
      </c>
      <c r="N52" s="10" t="inlineStr">
        <is>
          <t>разрешено</t>
        </is>
      </c>
      <c r="O52" s="10" t="inlineStr">
        <is>
          <t>2026-09-28</t>
        </is>
      </c>
    </row>
    <row r="53" ht="15" customHeight="1" s="11">
      <c r="A53" s="30" t="inlineStr">
        <is>
          <t>S052</t>
        </is>
      </c>
      <c r="B53" s="16" t="inlineStr">
        <is>
          <t>Выставки и музеи</t>
        </is>
      </c>
      <c r="C53" s="16" t="inlineStr">
        <is>
          <t>University of Cambridge Museums (сводный)</t>
        </is>
      </c>
      <c r="D53" s="16" t="inlineStr">
        <is>
          <t>Агрегатор</t>
        </is>
      </c>
      <c r="E53" s="16" t="inlineStr">
        <is>
          <t>https://www.museums.cam.ac.uk/whats-on</t>
        </is>
      </c>
      <c r="F53" s="16" t="inlineStr">
        <is>
          <t>Все университетские музеи, включая семейные</t>
        </is>
      </c>
      <c r="G53" s="16" t="inlineStr">
        <is>
          <t>Центр</t>
        </is>
      </c>
      <c r="H53" s="16" t="inlineStr">
        <is>
          <t>HTML</t>
        </is>
      </c>
      <c r="I53" s="16" t="inlineStr">
        <is>
          <t>Еженедельно</t>
        </is>
      </c>
      <c r="J53" s="16" t="n">
        <v>1</v>
      </c>
      <c r="K53" s="16" t="inlineStr">
        <is>
          <t>да</t>
        </is>
      </c>
      <c r="L53" s="16" t="inlineStr">
        <is>
          <t>v0.4: сводная афиша 8 музеев (Drupal), фидов и JSON-LD нет — HTML Этап 6: подключён — сводная афиша 8 музеев (HTML, один запрос на весь список) + 4 запроса по фильтрам «для кого»/«тип» → категория family по разметке музеев</t>
        </is>
      </c>
      <c r="M53" s="10" t="inlineStr">
        <is>
          <t>https://www.museums.cam.ac.uk/whats-on</t>
        </is>
      </c>
      <c r="N53" s="10" t="inlineStr">
        <is>
          <t>разрешено</t>
        </is>
      </c>
      <c r="O53" s="10" t="inlineStr">
        <is>
          <t>2026-09-28</t>
        </is>
      </c>
    </row>
    <row r="54" ht="15" customHeight="1" s="11">
      <c r="A54" s="31" t="inlineStr">
        <is>
          <t>S053</t>
        </is>
      </c>
      <c r="B54" s="16" t="inlineStr">
        <is>
          <t>Выставки и музеи</t>
        </is>
      </c>
      <c r="C54" s="16" t="inlineStr">
        <is>
          <t>IWM Duxford</t>
        </is>
      </c>
      <c r="D54" s="16" t="inlineStr">
        <is>
          <t>Площадка</t>
        </is>
      </c>
      <c r="E54" s="17" t="n"/>
      <c r="F54" s="16" t="inlineStr">
        <is>
          <t>Авиашоу и события</t>
        </is>
      </c>
      <c r="G54" s="16" t="inlineStr">
        <is>
          <t>30 мин</t>
        </is>
      </c>
      <c r="H54" s="16" t="inlineStr">
        <is>
          <t>HTML</t>
        </is>
      </c>
      <c r="I54" s="16" t="inlineStr">
        <is>
          <t>Еженедельно</t>
        </is>
      </c>
      <c r="J54" s="16" t="n">
        <v>2</v>
      </c>
      <c r="K54" s="17" t="inlineStr">
        <is>
          <t>нет</t>
        </is>
      </c>
      <c r="L54" s="16" t="inlineStr">
        <is>
          <t>Этап 5: закрыт — iwm.org.uk — 403 (бот-защита) на все страницы; в Ents24/Skiddle Duxford не найден</t>
        </is>
      </c>
      <c r="N54" s="10" t="inlineStr">
        <is>
          <t>—</t>
        </is>
      </c>
      <c r="O54" s="10" t="inlineStr">
        <is>
          <t>2026-09-28</t>
        </is>
      </c>
    </row>
    <row r="55" ht="15" customHeight="1" s="11">
      <c r="A55" s="30" t="inlineStr">
        <is>
          <t>S054</t>
        </is>
      </c>
      <c r="B55" s="16" t="inlineStr">
        <is>
          <t>Детям и семьям</t>
        </is>
      </c>
      <c r="C55" s="16" t="inlineStr">
        <is>
          <t>Cambridge Science Centre</t>
        </is>
      </c>
      <c r="D55" s="16" t="inlineStr">
        <is>
          <t>Площадка</t>
        </is>
      </c>
      <c r="E55" s="17" t="n"/>
      <c r="F55" s="16" t="inlineStr">
        <is>
          <t>Детские научные программы</t>
        </is>
      </c>
      <c r="G55" s="16" t="inlineStr">
        <is>
          <t>Центр</t>
        </is>
      </c>
      <c r="H55" s="16" t="inlineStr">
        <is>
          <t>HTML</t>
        </is>
      </c>
      <c r="I55" s="16" t="inlineStr">
        <is>
          <t>Еженедельно</t>
        </is>
      </c>
      <c r="J55" s="16" t="n">
        <v>2</v>
      </c>
      <c r="K55" s="17" t="inlineStr">
        <is>
          <t>да</t>
        </is>
      </c>
      <c r="L55" s="16" t="inlineStr">
        <is>
          <t>Этап 5: отложен — WordPress, тип записей events без дат в API — нужен разбор HTML (детские события — ценно) Этап 6: подключён — ссылки — из RSS /whats-on/feed/, дата и время — со страницы события; все события — семейные (family)</t>
        </is>
      </c>
      <c r="M55" s="10" t="inlineStr">
        <is>
          <t>https://www.cambridgesciencecentre.org/whats-on/feed/</t>
        </is>
      </c>
      <c r="N55" s="10" t="inlineStr">
        <is>
          <t>разрешено</t>
        </is>
      </c>
      <c r="O55" s="10" t="inlineStr">
        <is>
          <t>2026-09-28</t>
        </is>
      </c>
    </row>
    <row r="56" ht="15" customHeight="1" s="11">
      <c r="A56" s="30" t="inlineStr">
        <is>
          <t>S055</t>
        </is>
      </c>
      <c r="B56" s="16" t="inlineStr">
        <is>
          <t>Детям и семьям</t>
        </is>
      </c>
      <c r="C56" s="16" t="inlineStr">
        <is>
          <t>Библиотеки Cambridgeshire</t>
        </is>
      </c>
      <c r="D56" s="16" t="inlineStr">
        <is>
          <t>Организатор</t>
        </is>
      </c>
      <c r="E56" s="17" t="n"/>
      <c r="F56" s="16" t="inlineStr">
        <is>
          <t>Детские чтения, каникулярные программы</t>
        </is>
      </c>
      <c r="G56" s="16" t="inlineStr">
        <is>
          <t>Центр + 30 мин</t>
        </is>
      </c>
      <c r="H56" s="16" t="inlineStr">
        <is>
          <t>HTML</t>
        </is>
      </c>
      <c r="I56" s="16" t="inlineStr">
        <is>
          <t>Еженедельно</t>
        </is>
      </c>
      <c r="J56" s="16" t="n">
        <v>2</v>
      </c>
      <c r="K56" s="17" t="inlineStr">
        <is>
          <t>да</t>
        </is>
      </c>
      <c r="L56" s="16" t="inlineStr">
        <is>
          <t>Этап 5: отложен — Contensis, события библиотек — на сторонних сервисах; нужен разбор Этап 6: подключён — события библиотек — на Eventbrite (страница организатора со страницы совета), JSON-LD страниц событий; серии помечены «recurring series»</t>
        </is>
      </c>
      <c r="M56" s="10" t="inlineStr">
        <is>
          <t>https://www.cambridgeshire.gov.uk/residents/libraries-leisure-culture/libraries</t>
        </is>
      </c>
      <c r="N56" s="10" t="inlineStr">
        <is>
          <t>разрешено</t>
        </is>
      </c>
      <c r="O56" s="10" t="inlineStr">
        <is>
          <t>2026-09-28</t>
        </is>
      </c>
    </row>
    <row r="57" ht="15" customHeight="1" s="11">
      <c r="A57" s="16" t="inlineStr">
        <is>
          <t>S056</t>
        </is>
      </c>
      <c r="B57" s="16" t="inlineStr">
        <is>
          <t>Детям и семьям</t>
        </is>
      </c>
      <c r="C57" s="16" t="inlineStr">
        <is>
          <t>Семейные программы музеев</t>
        </is>
      </c>
      <c r="D57" s="16" t="inlineStr">
        <is>
          <t>Агрегатор</t>
        </is>
      </c>
      <c r="E57" s="18" t="n"/>
      <c r="F57" s="16" t="inlineStr">
        <is>
          <t>См. University of Cambridge Museums</t>
        </is>
      </c>
      <c r="G57" s="16" t="inlineStr">
        <is>
          <t>Центр</t>
        </is>
      </c>
      <c r="H57" s="16" t="inlineStr">
        <is>
          <t>Производный (тег «дети»)</t>
        </is>
      </c>
      <c r="I57" s="16" t="inlineStr">
        <is>
          <t>—</t>
        </is>
      </c>
      <c r="J57" s="16" t="n">
        <v>1</v>
      </c>
      <c r="K57" s="18" t="inlineStr">
        <is>
          <t>—</t>
        </is>
      </c>
      <c r="L57" s="16" t="inlineStr">
        <is>
          <t>Тегировать «дети» из музейных источников. v0.4: отдельного сайта нет: тегировать «дети» события из S050, S051, S052, S069 Этап 6: производный — тег «дети» из музейных источников — теперь по разметке S052/S048/S001 (категория family) и KIDS_RE</t>
        </is>
      </c>
      <c r="N57" s="10" t="inlineStr">
        <is>
          <t>—</t>
        </is>
      </c>
      <c r="O57" s="10" t="inlineStr">
        <is>
          <t>2026-09-28</t>
        </is>
      </c>
    </row>
    <row r="58" ht="15" customHeight="1" s="11">
      <c r="A58" s="16" t="inlineStr">
        <is>
          <t>S057</t>
        </is>
      </c>
      <c r="B58" s="16" t="inlineStr">
        <is>
          <t>Еда и напитки</t>
        </is>
      </c>
      <c r="C58" s="16" t="inlineStr">
        <is>
          <t>Eat Cambridge</t>
        </is>
      </c>
      <c r="D58" s="16" t="inlineStr">
        <is>
          <t>Организатор</t>
        </is>
      </c>
      <c r="E58" s="17" t="n"/>
      <c r="F58" s="16" t="inlineStr">
        <is>
          <t>Фуд-фестиваль и сопутствующие события</t>
        </is>
      </c>
      <c r="G58" s="16" t="inlineStr">
        <is>
          <t>Центр</t>
        </is>
      </c>
      <c r="H58" s="16" t="inlineStr">
        <is>
          <t>HTML</t>
        </is>
      </c>
      <c r="I58" s="16" t="inlineStr">
        <is>
          <t>Сезонно</t>
        </is>
      </c>
      <c r="J58" s="16" t="n">
        <v>2</v>
      </c>
      <c r="K58" s="17" t="inlineStr">
        <is>
          <t>да</t>
        </is>
      </c>
      <c r="L58" s="16" t="inlineStr">
        <is>
          <t>Этап 5: ежегодное — фестиваль в мае; фид — 3 записи</t>
        </is>
      </c>
      <c r="M58" s="10" t="inlineStr">
        <is>
          <t>https://eat-cambridge.co.uk/feed/</t>
        </is>
      </c>
      <c r="N58" s="10" t="inlineStr">
        <is>
          <t>разрешено</t>
        </is>
      </c>
      <c r="O58" s="10" t="inlineStr">
        <is>
          <t>2026-09-28</t>
        </is>
      </c>
    </row>
    <row r="59" ht="23.85" customHeight="1" s="11">
      <c r="A59" s="16" t="inlineStr">
        <is>
          <t>S058</t>
        </is>
      </c>
      <c r="B59" s="16" t="inlineStr">
        <is>
          <t>Еда и напитки</t>
        </is>
      </c>
      <c r="C59" s="16" t="inlineStr">
        <is>
          <t>Открытия ресторанов</t>
        </is>
      </c>
      <c r="D59" s="16" t="inlineStr">
        <is>
          <t>СМИ</t>
        </is>
      </c>
      <c r="E59" s="17" t="n"/>
      <c r="F59" s="16" t="inlineStr">
        <is>
          <t>Через Cambridge Independent / Cambridge News</t>
        </is>
      </c>
      <c r="G59" s="16" t="inlineStr">
        <is>
          <t>Центр</t>
        </is>
      </c>
      <c r="H59" s="16" t="inlineStr">
        <is>
          <t>RSS СМИ</t>
        </is>
      </c>
      <c r="I59" s="16" t="inlineStr">
        <is>
          <t>Еженедельно</t>
        </is>
      </c>
      <c r="J59" s="16" t="n">
        <v>2</v>
      </c>
      <c r="K59" s="17" t="inlineStr">
        <is>
          <t>—</t>
        </is>
      </c>
      <c r="L59" s="16" t="inlineStr">
        <is>
          <t>Этап 5: не нужен — производный источник: открытия через S092/S093 (извлечение из статей)</t>
        </is>
      </c>
      <c r="N59" s="10" t="inlineStr">
        <is>
          <t>—</t>
        </is>
      </c>
      <c r="O59" s="10" t="inlineStr">
        <is>
          <t>2026-09-28</t>
        </is>
      </c>
    </row>
    <row r="60" ht="15" customHeight="1" s="11">
      <c r="A60" s="16" t="inlineStr">
        <is>
          <t>S059</t>
        </is>
      </c>
      <c r="B60" s="16" t="inlineStr">
        <is>
          <t>Рынки и барахолки</t>
        </is>
      </c>
      <c r="C60" s="16" t="inlineStr">
        <is>
          <t>Cambridge Market (Market Square)</t>
        </is>
      </c>
      <c r="D60" s="16" t="inlineStr">
        <is>
          <t>Площадка</t>
        </is>
      </c>
      <c r="E60" s="16" t="inlineStr">
        <is>
          <t>https://www.cambridge.gov.uk</t>
        </is>
      </c>
      <c r="F60" s="16" t="inlineStr">
        <is>
          <t>Ежедневный рынок, воскресный фермерский</t>
        </is>
      </c>
      <c r="G60" s="16" t="inlineStr">
        <is>
          <t>Центр</t>
        </is>
      </c>
      <c r="H60" s="16" t="inlineStr">
        <is>
          <t>Ручной (стабильное расписание)</t>
        </is>
      </c>
      <c r="I60" s="16" t="inlineStr">
        <is>
          <t>Ежемесячно</t>
        </is>
      </c>
      <c r="J60" s="16" t="n">
        <v>3</v>
      </c>
      <c r="K60" s="17" t="inlineStr">
        <is>
          <t>—</t>
        </is>
      </c>
      <c r="L60" s="16" t="inlineStr">
        <is>
          <t>Этап 6: не нужен — Cambridge Market — ежедневный рынок, стабильное расписание: справочник, не событие</t>
        </is>
      </c>
      <c r="O60" t="inlineStr">
        <is>
          <t>2026-09-28</t>
        </is>
      </c>
    </row>
    <row r="61" ht="15" customHeight="1" s="11">
      <c r="A61" s="16" t="inlineStr">
        <is>
          <t>S060</t>
        </is>
      </c>
      <c r="B61" s="16" t="inlineStr">
        <is>
          <t>Рынки и барахолки</t>
        </is>
      </c>
      <c r="C61" s="16" t="inlineStr">
        <is>
          <t>All Saints Garden Art &amp; Craft Market</t>
        </is>
      </c>
      <c r="D61" s="16" t="inlineStr">
        <is>
          <t>Площадка</t>
        </is>
      </c>
      <c r="E61" s="17" t="n"/>
      <c r="F61" s="16" t="inlineStr">
        <is>
          <t>Рынок местных мастеров</t>
        </is>
      </c>
      <c r="G61" s="16" t="inlineStr">
        <is>
          <t>Центр</t>
        </is>
      </c>
      <c r="H61" s="16" t="inlineStr">
        <is>
          <t>Ручной</t>
        </is>
      </c>
      <c r="I61" s="16" t="inlineStr">
        <is>
          <t>Ежемесячно</t>
        </is>
      </c>
      <c r="J61" s="16" t="n">
        <v>3</v>
      </c>
      <c r="K61" s="17" t="inlineStr">
        <is>
          <t>—</t>
        </is>
      </c>
      <c r="L61" s="16" t="inlineStr">
        <is>
          <t>Этап 6: не нужен — All Saints Garden Art &amp; Craft Market — регулярный (суббота), справочник</t>
        </is>
      </c>
      <c r="O61" t="inlineStr">
        <is>
          <t>2026-09-28</t>
        </is>
      </c>
    </row>
    <row r="62" ht="15" customHeight="1" s="11">
      <c r="A62" s="16" t="inlineStr">
        <is>
          <t>S061</t>
        </is>
      </c>
      <c r="B62" s="16" t="inlineStr">
        <is>
          <t>Рынки и барахолки</t>
        </is>
      </c>
      <c r="C62" s="16" t="inlineStr">
        <is>
          <t>Car boot sales в округе</t>
        </is>
      </c>
      <c r="D62" s="16" t="inlineStr">
        <is>
          <t>Агрегатор</t>
        </is>
      </c>
      <c r="E62" s="17" t="n"/>
      <c r="F62" s="16" t="inlineStr">
        <is>
          <t>Воскресные барахолки</t>
        </is>
      </c>
      <c r="G62" s="16" t="inlineStr">
        <is>
          <t>30 мин</t>
        </is>
      </c>
      <c r="H62" s="16" t="inlineStr">
        <is>
          <t>HTML агрегатора (найти)</t>
        </is>
      </c>
      <c r="I62" s="16" t="inlineStr">
        <is>
          <t>Еженедельно</t>
        </is>
      </c>
      <c r="J62" s="16" t="n">
        <v>3</v>
      </c>
      <c r="K62" s="17" t="inlineStr">
        <is>
          <t>—</t>
        </is>
      </c>
      <c r="L62" s="16" t="inlineStr">
        <is>
          <t>Этап 6: не нужен — car boot sales — агрегатора с разрешающим robots.txt не нашлось; регулярные — справочник</t>
        </is>
      </c>
      <c r="O62" t="inlineStr">
        <is>
          <t>2026-09-28</t>
        </is>
      </c>
    </row>
    <row r="63" ht="15" customHeight="1" s="11">
      <c r="A63" s="16" t="inlineStr">
        <is>
          <t>S062</t>
        </is>
      </c>
      <c r="B63" s="16" t="inlineStr">
        <is>
          <t>Комедия и стендап</t>
        </is>
      </c>
      <c r="C63" s="16" t="inlineStr">
        <is>
          <t>Комедия на Corn Exchange / Junction / ADC</t>
        </is>
      </c>
      <c r="D63" s="16" t="inlineStr">
        <is>
          <t>Площадка</t>
        </is>
      </c>
      <c r="E63" s="18" t="n"/>
      <c r="F63" s="16" t="inlineStr">
        <is>
          <t>См. площадки</t>
        </is>
      </c>
      <c r="G63" s="16" t="inlineStr">
        <is>
          <t>Центр</t>
        </is>
      </c>
      <c r="H63" s="16" t="inlineStr">
        <is>
          <t>Производный (тег «комедия»)</t>
        </is>
      </c>
      <c r="I63" s="16" t="inlineStr">
        <is>
          <t>—</t>
        </is>
      </c>
      <c r="J63" s="16" t="n">
        <v>1</v>
      </c>
      <c r="K63" s="18" t="inlineStr">
        <is>
          <t>—</t>
        </is>
      </c>
      <c r="L63" s="16" t="inlineStr">
        <is>
          <t>Тегировать «комедия» из этих источников. v0.4: отдельного сайта нет: тегировать «комедия» события из S011, S012, S042 (+ Ents24 ComedyEvent) Этап 6: производный — тег «комедия» из S011, S012, S042</t>
        </is>
      </c>
      <c r="N63" s="10" t="inlineStr">
        <is>
          <t>—</t>
        </is>
      </c>
      <c r="O63" s="10" t="inlineStr">
        <is>
          <t>2026-09-28</t>
        </is>
      </c>
    </row>
    <row r="64" ht="23.85" customHeight="1" s="11">
      <c r="A64" s="16" t="inlineStr">
        <is>
          <t>S063</t>
        </is>
      </c>
      <c r="B64" s="16" t="inlineStr">
        <is>
          <t>Ночная жизнь</t>
        </is>
      </c>
      <c r="C64" s="16" t="inlineStr">
        <is>
          <t>Resident Advisor / Skiddle — клубные события</t>
        </is>
      </c>
      <c r="D64" s="16" t="inlineStr">
        <is>
          <t>Агрегатор</t>
        </is>
      </c>
      <c r="E64" s="17" t="n"/>
      <c r="F64" s="16" t="inlineStr">
        <is>
          <t>Клубные вечера</t>
        </is>
      </c>
      <c r="G64" s="16" t="inlineStr">
        <is>
          <t>Центр</t>
        </is>
      </c>
      <c r="H64" s="16" t="inlineStr">
        <is>
          <t>HTML / API Skiddle</t>
        </is>
      </c>
      <c r="I64" s="16" t="inlineStr">
        <is>
          <t>Еженедельно</t>
        </is>
      </c>
      <c r="J64" s="16" t="n">
        <v>3</v>
      </c>
      <c r="K64" s="17" t="inlineStr">
        <is>
          <t>нет</t>
        </is>
      </c>
      <c r="L64" s="16" t="inlineStr">
        <is>
          <t>Этап 6: покрыт — Resident Advisor — 403; клубные события — Skiddle (S007, S129)</t>
        </is>
      </c>
      <c r="O64" t="inlineStr">
        <is>
          <t>2026-09-28</t>
        </is>
      </c>
    </row>
    <row r="65" ht="15" customHeight="1" s="11">
      <c r="A65" s="16" t="inlineStr">
        <is>
          <t>S064</t>
        </is>
      </c>
      <c r="B65" s="16" t="inlineStr">
        <is>
          <t>Ночная жизнь</t>
        </is>
      </c>
      <c r="C65" s="16" t="inlineStr">
        <is>
          <t>Квизы в пабах</t>
        </is>
      </c>
      <c r="D65" s="16" t="inlineStr">
        <is>
          <t>—</t>
        </is>
      </c>
      <c r="E65" s="17" t="n"/>
      <c r="F65" s="16" t="inlineStr">
        <is>
          <t>Регулярные квизы</t>
        </is>
      </c>
      <c r="G65" s="16" t="inlineStr">
        <is>
          <t>Центр</t>
        </is>
      </c>
      <c r="H65" s="16" t="inlineStr">
        <is>
          <t>Ручной (стабильные)</t>
        </is>
      </c>
      <c r="I65" s="16" t="inlineStr">
        <is>
          <t>Ежемесячно</t>
        </is>
      </c>
      <c r="J65" s="16" t="n">
        <v>3</v>
      </c>
      <c r="K65" s="17" t="inlineStr">
        <is>
          <t>—</t>
        </is>
      </c>
      <c r="L65" s="16" t="inlineStr">
        <is>
          <t>Скорее справочник, чем лента Этап 6: не нужен — квизы в пабах — справочник, не лента событий</t>
        </is>
      </c>
      <c r="O65" t="inlineStr">
        <is>
          <t>2026-09-28</t>
        </is>
      </c>
    </row>
    <row r="66" ht="23.85" customHeight="1" s="11">
      <c r="A66" s="16" t="inlineStr">
        <is>
          <t>S065</t>
        </is>
      </c>
      <c r="B66" s="16" t="inlineStr">
        <is>
          <t>Открытые двери и экскурсии</t>
        </is>
      </c>
      <c r="C66" s="16" t="inlineStr">
        <is>
          <t>Open Cambridge</t>
        </is>
      </c>
      <c r="D66" s="16" t="inlineStr">
        <is>
          <t>Организатор</t>
        </is>
      </c>
      <c r="E66" s="16" t="inlineStr">
        <is>
          <t>https://www.opencambridge.cam.ac.uk/</t>
        </is>
      </c>
      <c r="F66" s="16" t="inlineStr">
        <is>
          <t>Открытые двери, сентябрь</t>
        </is>
      </c>
      <c r="G66" s="16" t="inlineStr">
        <is>
          <t>Центр</t>
        </is>
      </c>
      <c r="H66" s="16" t="inlineStr">
        <is>
          <t>HTML (curl, пауза 10 с)</t>
        </is>
      </c>
      <c r="I66" s="16" t="inlineStr">
        <is>
          <t>Ежегодно</t>
        </is>
      </c>
      <c r="J66" s="16" t="n">
        <v>1</v>
      </c>
      <c r="K66" s="16" t="inlineStr">
        <is>
          <t>да</t>
        </is>
      </c>
      <c r="L66" s="16" t="inlineStr">
        <is>
          <t>Часть Heritage Open Days. v0.4: решение после этапа 1: curl с честным User-Agent и паузой 10 с; ежегодно (сентябрь), часть Heritage Open Days Этап 6: ежегодное — через recurring_events (R12)</t>
        </is>
      </c>
      <c r="M66" s="10" t="inlineStr">
        <is>
          <t>https://www.opencambridge.cam.ac.uk/</t>
        </is>
      </c>
      <c r="N66" s="10" t="inlineStr">
        <is>
          <t>разрешено, Crawl-delay 10</t>
        </is>
      </c>
      <c r="O66" s="10" t="inlineStr">
        <is>
          <t>2026-09-28</t>
        </is>
      </c>
    </row>
    <row r="67" ht="23.85" customHeight="1" s="11">
      <c r="A67" s="16" t="inlineStr">
        <is>
          <t>S066</t>
        </is>
      </c>
      <c r="B67" s="16" t="inlineStr">
        <is>
          <t>Открытые двери и экскурсии</t>
        </is>
      </c>
      <c r="C67" s="16" t="inlineStr">
        <is>
          <t>Heritage Open Days</t>
        </is>
      </c>
      <c r="D67" s="16" t="inlineStr">
        <is>
          <t>Агрегатор</t>
        </is>
      </c>
      <c r="E67" s="17" t="n"/>
      <c r="F67" s="16" t="inlineStr">
        <is>
          <t>Национальная программа открытых дверей</t>
        </is>
      </c>
      <c r="G67" s="16" t="inlineStr">
        <is>
          <t>Центр + час</t>
        </is>
      </c>
      <c r="H67" s="16" t="inlineStr">
        <is>
          <t>HTML (поиск по региону)</t>
        </is>
      </c>
      <c r="I67" s="16" t="inlineStr">
        <is>
          <t>Сезонно</t>
        </is>
      </c>
      <c r="J67" s="16" t="n">
        <v>2</v>
      </c>
      <c r="K67" s="17" t="inlineStr">
        <is>
          <t>да</t>
        </is>
      </c>
      <c r="L67" s="16" t="inlineStr">
        <is>
          <t>Этап 5: ежегодное — Heritage Open Days — сентябрь; поиск по региону в HTML</t>
        </is>
      </c>
      <c r="M67" s="10" t="inlineStr">
        <is>
          <t>https://www.heritageopendays.org.uk</t>
        </is>
      </c>
      <c r="N67" s="10" t="inlineStr">
        <is>
          <t>разрешено</t>
        </is>
      </c>
      <c r="O67" s="10" t="inlineStr">
        <is>
          <t>2026-09-28</t>
        </is>
      </c>
    </row>
    <row r="68" ht="23.85" customHeight="1" s="11">
      <c r="A68" s="18" t="inlineStr">
        <is>
          <t>S067</t>
        </is>
      </c>
      <c r="B68" s="16" t="inlineStr">
        <is>
          <t>Открытые двери и экскурсии</t>
        </is>
      </c>
      <c r="C68" s="16" t="inlineStr">
        <is>
          <t>National Garden Scheme</t>
        </is>
      </c>
      <c r="D68" s="16" t="inlineStr">
        <is>
          <t>Агрегатор</t>
        </is>
      </c>
      <c r="E68" s="17" t="n"/>
      <c r="F68" s="16" t="inlineStr">
        <is>
          <t>Частные сады, открытые для посещения</t>
        </is>
      </c>
      <c r="G68" s="16" t="inlineStr">
        <is>
          <t>30 мин + час</t>
        </is>
      </c>
      <c r="H68" s="16" t="inlineStr">
        <is>
          <t>HTML</t>
        </is>
      </c>
      <c r="I68" s="16" t="inlineStr">
        <is>
          <t>Сезонно</t>
        </is>
      </c>
      <c r="J68" s="16" t="n">
        <v>2</v>
      </c>
      <c r="K68" s="17" t="inlineStr">
        <is>
          <t>да</t>
        </is>
      </c>
      <c r="L68" s="16" t="inlineStr">
        <is>
          <t>Этап 5: отложен — findagarden.ngs.org.uk — сезон весна–лето; разбор HTML Этап 6: отложен — NGS (открытые сады): приложение findagarden на скриптах; сезон апрель–сентябрь — проверить API весной</t>
        </is>
      </c>
      <c r="M68" s="10" t="inlineStr">
        <is>
          <t>https://ngs.org.uk</t>
        </is>
      </c>
      <c r="N68" s="10" t="inlineStr">
        <is>
          <t>разрешено</t>
        </is>
      </c>
      <c r="O68" s="10" t="inlineStr">
        <is>
          <t>2026-09-28</t>
        </is>
      </c>
    </row>
    <row r="69" ht="23.85" customHeight="1" s="11">
      <c r="A69" s="18" t="inlineStr">
        <is>
          <t>S068</t>
        </is>
      </c>
      <c r="B69" s="16" t="inlineStr">
        <is>
          <t>Открытые двери и экскурсии</t>
        </is>
      </c>
      <c r="C69" s="16" t="inlineStr">
        <is>
          <t>Колледжи — дни открытых дверей и туры</t>
        </is>
      </c>
      <c r="D69" s="16" t="inlineStr">
        <is>
          <t>Организатор</t>
        </is>
      </c>
      <c r="E69" s="17" t="n"/>
      <c r="F69" s="16" t="inlineStr">
        <is>
          <t>Посещения колледжей</t>
        </is>
      </c>
      <c r="G69" s="16" t="inlineStr">
        <is>
          <t>Центр</t>
        </is>
      </c>
      <c r="H69" s="16" t="inlineStr">
        <is>
          <t>Ручной</t>
        </is>
      </c>
      <c r="I69" s="16" t="inlineStr">
        <is>
          <t>Сезонно</t>
        </is>
      </c>
      <c r="J69" s="16" t="n">
        <v>3</v>
      </c>
      <c r="K69" s="17" t="inlineStr">
        <is>
          <t>—</t>
        </is>
      </c>
      <c r="L69" s="16" t="inlineStr">
        <is>
          <t>Этап 6: вручную — дни открытых дверей колледжей — Open Cambridge (R12) и University What's On (S048)</t>
        </is>
      </c>
      <c r="O69" t="inlineStr">
        <is>
          <t>2026-09-28</t>
        </is>
      </c>
    </row>
    <row r="70" ht="23.85" customHeight="1" s="11">
      <c r="A70" s="30" t="inlineStr">
        <is>
          <t>S069</t>
        </is>
      </c>
      <c r="B70" s="16" t="inlineStr">
        <is>
          <t>Природа и загородные поездки</t>
        </is>
      </c>
      <c r="C70" s="16" t="inlineStr">
        <is>
          <t>Cambridge University Botanic Garden</t>
        </is>
      </c>
      <c r="D70" s="16" t="inlineStr">
        <is>
          <t>Площадка</t>
        </is>
      </c>
      <c r="E70" s="16" t="inlineStr">
        <is>
          <t>https://www.botanic.cam.ac.uk</t>
        </is>
      </c>
      <c r="F70" s="16" t="inlineStr">
        <is>
          <t>События, сезонные экскурсии</t>
        </is>
      </c>
      <c r="G70" s="16" t="inlineStr">
        <is>
          <t>Центр</t>
        </is>
      </c>
      <c r="H70" s="16" t="inlineStr">
        <is>
          <t>HTML</t>
        </is>
      </c>
      <c r="I70" s="16" t="inlineStr">
        <is>
          <t>Еженедельно</t>
        </is>
      </c>
      <c r="J70" s="16" t="n">
        <v>1</v>
      </c>
      <c r="K70" s="16" t="inlineStr">
        <is>
          <t>да</t>
        </is>
      </c>
      <c r="L70" s="16" t="inlineStr">
        <is>
          <t>v0.4: WordPress, фида событий нет; REST закрыт (401) Этап 6: подключён — HTML /whats-on/ + страницы событий; часть событий есть и в S052</t>
        </is>
      </c>
      <c r="M70" s="10" t="inlineStr">
        <is>
          <t>https://www.botanic.cam.ac.uk/whats-on/</t>
        </is>
      </c>
      <c r="N70" s="10" t="inlineStr">
        <is>
          <t>разрешено</t>
        </is>
      </c>
      <c r="O70" s="10" t="inlineStr">
        <is>
          <t>2026-09-28</t>
        </is>
      </c>
    </row>
    <row r="71" ht="23.85" customHeight="1" s="11">
      <c r="A71" s="18" t="inlineStr">
        <is>
          <t>S070</t>
        </is>
      </c>
      <c r="B71" s="16" t="inlineStr">
        <is>
          <t>Природа и загородные поездки</t>
        </is>
      </c>
      <c r="C71" s="16" t="inlineStr">
        <is>
          <t>National Trust: Wimpole, Anglesey Abbey, Wicken Fen</t>
        </is>
      </c>
      <c r="D71" s="16" t="inlineStr">
        <is>
          <t>Площадка</t>
        </is>
      </c>
      <c r="E71" s="18" t="inlineStr">
        <is>
          <t>https://www.nationaltrust.org.uk/visit/cambridgeshire/wimpole-estate/events</t>
        </is>
      </c>
      <c r="F71" s="16" t="inlineStr">
        <is>
          <t>Сезонные события, фестивали огней, детские программы</t>
        </is>
      </c>
      <c r="G71" s="16" t="inlineStr">
        <is>
          <t>30 мин</t>
        </is>
      </c>
      <c r="H71" s="16" t="inlineStr">
        <is>
          <t>Ручной сезонный</t>
        </is>
      </c>
      <c r="I71" s="16" t="inlineStr">
        <is>
          <t>Еженедельно</t>
        </is>
      </c>
      <c r="J71" s="16" t="n">
        <v>1</v>
      </c>
      <c r="K71" s="18" t="inlineStr">
        <is>
          <t>нет</t>
        </is>
      </c>
      <c r="L71" s="16" t="inlineStr">
        <is>
          <t>v0.4: решение после этапа 1: защиту Radware не обходим; вносить вручную по сезонам (Wimpole, Anglesey Abbey, Wicken Fen) Этап 6: вручную — National Trust — защита Radware; ручной сезонный календарь</t>
        </is>
      </c>
      <c r="M71" s="10" t="inlineStr">
        <is>
          <t>https://www.nationaltrust.org.uk/visit/cambridgeshire/wimpole-estate/events</t>
        </is>
      </c>
      <c r="N71" s="10" t="inlineStr">
        <is>
          <t>разрешено</t>
        </is>
      </c>
      <c r="O71" s="10" t="inlineStr">
        <is>
          <t>2026-09-28</t>
        </is>
      </c>
    </row>
    <row r="72" ht="23.85" customHeight="1" s="11">
      <c r="A72" s="30" t="inlineStr">
        <is>
          <t>S071</t>
        </is>
      </c>
      <c r="B72" s="16" t="inlineStr">
        <is>
          <t>Природа и загородные поездки</t>
        </is>
      </c>
      <c r="C72" s="16" t="inlineStr">
        <is>
          <t>Ely Cathedral</t>
        </is>
      </c>
      <c r="D72" s="16" t="inlineStr">
        <is>
          <t>Площадка</t>
        </is>
      </c>
      <c r="E72" s="17" t="n"/>
      <c r="F72" s="16" t="inlineStr">
        <is>
          <t>Концерты, рынки, сезонные события</t>
        </is>
      </c>
      <c r="G72" s="16" t="inlineStr">
        <is>
          <t>30 мин</t>
        </is>
      </c>
      <c r="H72" s="16" t="inlineStr">
        <is>
          <t>HTML</t>
        </is>
      </c>
      <c r="I72" s="16" t="inlineStr">
        <is>
          <t>Еженедельно</t>
        </is>
      </c>
      <c r="J72" s="16" t="n">
        <v>2</v>
      </c>
      <c r="K72" s="17" t="inlineStr">
        <is>
          <t>да</t>
        </is>
      </c>
      <c r="L72" s="16" t="inlineStr">
        <is>
          <t>Этап 5: отложен — Spektrix без JSON-LD; часть концертов уже из Ents24/Skiddle (S128/S129) и Eventbrite Этап 6: подключён — Ely Cathedral: карточки /events (дата + название), один запрос; отложен в P2 на этапе 5</t>
        </is>
      </c>
      <c r="M72" s="10" t="inlineStr">
        <is>
          <t>https://www.elycathedral.org</t>
        </is>
      </c>
      <c r="N72" s="10" t="inlineStr">
        <is>
          <t>разрешено</t>
        </is>
      </c>
      <c r="O72" s="10" t="inlineStr">
        <is>
          <t>2026-09-28</t>
        </is>
      </c>
    </row>
    <row r="73" ht="23.85" customHeight="1" s="11">
      <c r="A73" s="16" t="inlineStr">
        <is>
          <t>S072</t>
        </is>
      </c>
      <c r="B73" s="16" t="inlineStr">
        <is>
          <t>Праздники и сезонное</t>
        </is>
      </c>
      <c r="C73" s="16" t="inlineStr">
        <is>
          <t>Cambridge City Council — городские события</t>
        </is>
      </c>
      <c r="D73" s="16" t="inlineStr">
        <is>
          <t>Организатор</t>
        </is>
      </c>
      <c r="E73" s="16" t="inlineStr">
        <is>
          <t>https://www.camcityevents.co.uk/events</t>
        </is>
      </c>
      <c r="F73" s="16" t="inlineStr">
        <is>
          <t>Фейерверки на Midsummer Common, рождественские огни, Midsummer Fair</t>
        </is>
      </c>
      <c r="G73" s="16" t="inlineStr">
        <is>
          <t>Центр</t>
        </is>
      </c>
      <c r="H73" s="16" t="inlineStr">
        <is>
          <t>HTML</t>
        </is>
      </c>
      <c r="I73" s="16" t="inlineStr">
        <is>
          <t>Еженедельно</t>
        </is>
      </c>
      <c r="J73" s="16" t="n">
        <v>1</v>
      </c>
      <c r="K73" s="16" t="inlineStr">
        <is>
          <t>да</t>
        </is>
      </c>
      <c r="L73" s="16" t="inlineStr">
        <is>
          <t>Фейерверки собирают до 20 тыс. человек — обязательно в выпуск. v0.4: городские события (фейерверки, Kidmas Lights) — на camcityevents.co.uk (та же платформа, что у Corn Exchange); cambridge.gov.uk/fireworks туда редиректит</t>
        </is>
      </c>
      <c r="M73" s="10" t="inlineStr">
        <is>
          <t>https://www.camcityevents.co.uk/events</t>
        </is>
      </c>
      <c r="N73" s="10" t="inlineStr">
        <is>
          <t>разрешено</t>
        </is>
      </c>
      <c r="O73" s="10" t="inlineStr">
        <is>
          <t>2026-09-27</t>
        </is>
      </c>
    </row>
    <row r="74" ht="23.85" customHeight="1" s="11">
      <c r="A74" s="18" t="inlineStr">
        <is>
          <t>S073</t>
        </is>
      </c>
      <c r="B74" s="16" t="inlineStr">
        <is>
          <t>Праздники и сезонное</t>
        </is>
      </c>
      <c r="C74" s="16" t="inlineStr">
        <is>
          <t>Remembrance, Pancake Race и др. традиции</t>
        </is>
      </c>
      <c r="D74" s="16" t="inlineStr">
        <is>
          <t>Организатор</t>
        </is>
      </c>
      <c r="E74" s="17" t="n"/>
      <c r="F74" s="16" t="inlineStr">
        <is>
          <t>Сезонные традиции</t>
        </is>
      </c>
      <c r="G74" s="16" t="inlineStr">
        <is>
          <t>Центр</t>
        </is>
      </c>
      <c r="H74" s="16" t="inlineStr">
        <is>
          <t>Ручной календарь</t>
        </is>
      </c>
      <c r="I74" s="16" t="inlineStr">
        <is>
          <t>Ежегодно</t>
        </is>
      </c>
      <c r="J74" s="16" t="n">
        <v>3</v>
      </c>
      <c r="K74" s="17" t="inlineStr">
        <is>
          <t>—</t>
        </is>
      </c>
      <c r="L74" s="16" t="inlineStr">
        <is>
          <t>Завести статичный годовой календарь Этап 6: вручную — традиции (Remembrance, Pancake Race) — статичный календарь / recurring вручную; Remembrance в Эли — пришло из статьи Ely Standard</t>
        </is>
      </c>
      <c r="O74" t="inlineStr">
        <is>
          <t>2026-09-28</t>
        </is>
      </c>
    </row>
    <row r="75" ht="15" customHeight="1" s="11">
      <c r="A75" s="31" t="inlineStr">
        <is>
          <t>S074</t>
        </is>
      </c>
      <c r="B75" s="16" t="inlineStr">
        <is>
          <t>Воркшопы и курсы</t>
        </is>
      </c>
      <c r="C75" s="16" t="inlineStr">
        <is>
          <t>Makespace Cambridge</t>
        </is>
      </c>
      <c r="D75" s="16" t="inlineStr">
        <is>
          <t>Организатор</t>
        </is>
      </c>
      <c r="E75" s="17" t="n"/>
      <c r="F75" s="16" t="inlineStr">
        <is>
          <t>Мастерская: воркшопы, дни открытых дверей</t>
        </is>
      </c>
      <c r="G75" s="16" t="inlineStr">
        <is>
          <t>Центр</t>
        </is>
      </c>
      <c r="H75" s="16" t="inlineStr">
        <is>
          <t>HTML</t>
        </is>
      </c>
      <c r="I75" s="16" t="inlineStr">
        <is>
          <t>Еженедельно</t>
        </is>
      </c>
      <c r="J75" s="16" t="n">
        <v>3</v>
      </c>
      <c r="K75" s="17" t="inlineStr">
        <is>
          <t>нет</t>
        </is>
      </c>
      <c r="L75" s="16" t="inlineStr">
        <is>
          <t>Этап 6: закрыт — Makespace: 429 на robots.txt — считаем запретом; курсы для членов, не публичные события</t>
        </is>
      </c>
      <c r="O75" t="inlineStr">
        <is>
          <t>2026-09-28</t>
        </is>
      </c>
    </row>
    <row r="76" ht="15" customHeight="1" s="11">
      <c r="A76" s="16" t="inlineStr">
        <is>
          <t>S075</t>
        </is>
      </c>
      <c r="B76" s="16" t="inlineStr">
        <is>
          <t>Воркшопы и курсы</t>
        </is>
      </c>
      <c r="C76" s="16" t="inlineStr">
        <is>
          <t>Воркшопы в музеях</t>
        </is>
      </c>
      <c r="D76" s="16" t="inlineStr">
        <is>
          <t>Агрегатор</t>
        </is>
      </c>
      <c r="E76" s="17" t="n"/>
      <c r="F76" s="16" t="inlineStr">
        <is>
          <t>См. музеи</t>
        </is>
      </c>
      <c r="G76" s="16" t="inlineStr">
        <is>
          <t>Центр</t>
        </is>
      </c>
      <c r="H76" s="16" t="inlineStr">
        <is>
          <t>—</t>
        </is>
      </c>
      <c r="I76" s="16" t="inlineStr">
        <is>
          <t>—</t>
        </is>
      </c>
      <c r="J76" s="16" t="n">
        <v>2</v>
      </c>
      <c r="K76" s="17" t="inlineStr">
        <is>
          <t>—</t>
        </is>
      </c>
      <c r="L76" s="16" t="inlineStr">
        <is>
          <t>Этап 5: не нужен — производный (музеи)</t>
        </is>
      </c>
      <c r="N76" s="10" t="inlineStr">
        <is>
          <t>—</t>
        </is>
      </c>
      <c r="O76" s="10" t="inlineStr">
        <is>
          <t>2026-09-28</t>
        </is>
      </c>
    </row>
    <row r="77" ht="23.85" customHeight="1" s="11">
      <c r="A77" s="18" t="inlineStr">
        <is>
          <t>S076</t>
        </is>
      </c>
      <c r="B77" s="16" t="inlineStr">
        <is>
          <t>Сообщества и благотворительность</t>
        </is>
      </c>
      <c r="C77" s="16" t="inlineStr">
        <is>
          <t>Love Mill Road / Mill Road Fringe</t>
        </is>
      </c>
      <c r="D77" s="16" t="inlineStr">
        <is>
          <t>Организатор</t>
        </is>
      </c>
      <c r="E77" s="16" t="inlineStr">
        <is>
          <t>https://www.millroadwinterfair.org/mill-road-fringe/</t>
        </is>
      </c>
      <c r="F77" s="16" t="inlineStr">
        <is>
          <t>Районные события Mill Road в течение года</t>
        </is>
      </c>
      <c r="G77" s="16" t="inlineStr">
        <is>
          <t>Центр</t>
        </is>
      </c>
      <c r="H77" s="16" t="inlineStr">
        <is>
          <t>HTML</t>
        </is>
      </c>
      <c r="I77" s="16" t="inlineStr">
        <is>
          <t>Еженедельно</t>
        </is>
      </c>
      <c r="J77" s="16" t="n">
        <v>2</v>
      </c>
      <c r="K77" s="16" t="inlineStr">
        <is>
          <t>да</t>
        </is>
      </c>
      <c r="L77" s="16" t="inlineStr">
        <is>
          <t>Этап 5: отложен — Mill Road Fringe — сезонно; страница WordPress без событийных данных Этап 6: отложен — Mill Road Fringe: страница без дат, фестиваль летом — проверить к сезону; Winter Fair — в recurring (R16)</t>
        </is>
      </c>
      <c r="M77" s="10" t="inlineStr">
        <is>
          <t>https://www.millroadwinterfair.org/feed/</t>
        </is>
      </c>
      <c r="N77" s="10" t="inlineStr">
        <is>
          <t>разрешено</t>
        </is>
      </c>
      <c r="O77" s="10" t="inlineStr">
        <is>
          <t>2026-09-28</t>
        </is>
      </c>
    </row>
    <row r="78" ht="23.85" customHeight="1" s="11">
      <c r="A78" s="16" t="inlineStr">
        <is>
          <t>S077</t>
        </is>
      </c>
      <c r="B78" s="16" t="inlineStr">
        <is>
          <t>Сообщества и благотворительность</t>
        </is>
      </c>
      <c r="C78" s="16" t="inlineStr">
        <is>
          <t>Районные FB-группы и Nextdoor</t>
        </is>
      </c>
      <c r="D78" s="16" t="inlineStr">
        <is>
          <t>Соцсети</t>
        </is>
      </c>
      <c r="E78" s="17" t="n"/>
      <c r="F78" s="16" t="inlineStr">
        <is>
          <t>Районные события, отмены</t>
        </is>
      </c>
      <c r="G78" s="16" t="inlineStr">
        <is>
          <t>Центр</t>
        </is>
      </c>
      <c r="H78" s="16" t="inlineStr">
        <is>
          <t>Ручной мониторинг (не парсить — правила платформ)</t>
        </is>
      </c>
      <c r="I78" s="16" t="inlineStr">
        <is>
          <t>Еженедельно</t>
        </is>
      </c>
      <c r="J78" s="16" t="n">
        <v>2</v>
      </c>
      <c r="K78" s="17" t="inlineStr">
        <is>
          <t>—</t>
        </is>
      </c>
      <c r="L78" s="16" t="inlineStr">
        <is>
          <t>Этап 5: не нужен — соцсети — по правилам не парсим</t>
        </is>
      </c>
      <c r="N78" s="10" t="inlineStr">
        <is>
          <t>—</t>
        </is>
      </c>
      <c r="O78" s="10" t="inlineStr">
        <is>
          <t>2026-09-28</t>
        </is>
      </c>
    </row>
    <row r="79" ht="23.85" customHeight="1" s="11">
      <c r="A79" s="31" t="inlineStr">
        <is>
          <t>S078</t>
        </is>
      </c>
      <c r="B79" s="16" t="inlineStr">
        <is>
          <t>Практическое</t>
        </is>
      </c>
      <c r="C79" s="16" t="inlineStr">
        <is>
          <t>Перекрытия дорог (county council / one.network)</t>
        </is>
      </c>
      <c r="D79" s="16" t="inlineStr">
        <is>
          <t>Госорган</t>
        </is>
      </c>
      <c r="E79" s="17" t="n"/>
      <c r="F79" s="16" t="inlineStr">
        <is>
          <t>Дорожные работы и перекрытия под события</t>
        </is>
      </c>
      <c r="G79" s="16" t="inlineStr">
        <is>
          <t>Центр + 30 мин</t>
        </is>
      </c>
      <c r="H79" s="16" t="inlineStr">
        <is>
          <t>HTML / фид (проверить)</t>
        </is>
      </c>
      <c r="I79" s="16" t="inlineStr">
        <is>
          <t>Ежедневно</t>
        </is>
      </c>
      <c r="J79" s="16" t="n">
        <v>2</v>
      </c>
      <c r="K79" s="17" t="inlineStr">
        <is>
          <t>нет</t>
        </is>
      </c>
      <c r="L79" s="16" t="inlineStr">
        <is>
          <t>Этап 5: закрыт — robots.txt запрещает</t>
        </is>
      </c>
      <c r="N79" s="10" t="inlineStr">
        <is>
          <t>запрещено</t>
        </is>
      </c>
      <c r="O79" s="10" t="inlineStr">
        <is>
          <t>2026-09-28</t>
        </is>
      </c>
    </row>
    <row r="80" ht="23.85" customHeight="1" s="11">
      <c r="A80" s="16" t="inlineStr">
        <is>
          <t>S079</t>
        </is>
      </c>
      <c r="B80" s="16" t="inlineStr">
        <is>
          <t>Практическое</t>
        </is>
      </c>
      <c r="C80" s="16" t="inlineStr">
        <is>
          <t>Greater Anglia / Thameslink / National Rail</t>
        </is>
      </c>
      <c r="D80" s="16" t="inlineStr">
        <is>
          <t>Транспорт</t>
        </is>
      </c>
      <c r="E80" s="17" t="n"/>
      <c r="F80" s="16" t="inlineStr">
        <is>
          <t>Инженерные работы, забастовки</t>
        </is>
      </c>
      <c r="G80" s="16" t="inlineStr">
        <is>
          <t>Центр + час</t>
        </is>
      </c>
      <c r="H80" s="16" t="inlineStr">
        <is>
          <t>HTML / API National Rail (проверить)</t>
        </is>
      </c>
      <c r="I80" s="16" t="inlineStr">
        <is>
          <t>Ежедневно</t>
        </is>
      </c>
      <c r="J80" s="16" t="n">
        <v>2</v>
      </c>
      <c r="K80" s="17" t="inlineStr">
        <is>
          <t>да</t>
        </is>
      </c>
      <c r="L80" s="16" t="inlineStr">
        <is>
          <t>Этап 5: не нужен — не события (транспорт); вернуться к этому, если понадобится практический блок</t>
        </is>
      </c>
      <c r="M80" s="10" t="inlineStr">
        <is>
          <t>https://www.nationalrail.co.uk</t>
        </is>
      </c>
      <c r="N80" s="10" t="inlineStr">
        <is>
          <t>разрешено</t>
        </is>
      </c>
      <c r="O80" s="10" t="inlineStr">
        <is>
          <t>2026-09-28</t>
        </is>
      </c>
    </row>
    <row r="81" ht="15" customHeight="1" s="11">
      <c r="A81" s="16" t="inlineStr">
        <is>
          <t>S080</t>
        </is>
      </c>
      <c r="B81" s="16" t="inlineStr">
        <is>
          <t>Практическое</t>
        </is>
      </c>
      <c r="C81" s="16" t="inlineStr">
        <is>
          <t>Stagecoach East / Park &amp; Ride</t>
        </is>
      </c>
      <c r="D81" s="16" t="inlineStr">
        <is>
          <t>Транспорт</t>
        </is>
      </c>
      <c r="E81" s="17" t="n"/>
      <c r="F81" s="16" t="inlineStr">
        <is>
          <t>Изменения автобусов в дни событий</t>
        </is>
      </c>
      <c r="G81" s="16" t="inlineStr">
        <is>
          <t>Центр</t>
        </is>
      </c>
      <c r="H81" s="16" t="inlineStr">
        <is>
          <t>HTML</t>
        </is>
      </c>
      <c r="I81" s="16" t="inlineStr">
        <is>
          <t>Еженедельно</t>
        </is>
      </c>
      <c r="J81" s="16" t="n">
        <v>3</v>
      </c>
      <c r="K81" s="17" t="inlineStr">
        <is>
          <t>—</t>
        </is>
      </c>
      <c r="L81" s="16" t="inlineStr">
        <is>
          <t>Этап 6: не нужен — Stagecoach / Park &amp; Ride — транспорт, не события (рубрики «Практическое» в выпуске нет)</t>
        </is>
      </c>
      <c r="O81" t="inlineStr">
        <is>
          <t>2026-09-28</t>
        </is>
      </c>
    </row>
    <row r="82" ht="23.85" customHeight="1" s="11">
      <c r="A82" s="16" t="inlineStr">
        <is>
          <t>S081</t>
        </is>
      </c>
      <c r="B82" s="16" t="inlineStr">
        <is>
          <t>Фестивали</t>
        </is>
      </c>
      <c r="C82" s="16" t="inlineStr">
        <is>
          <t>Thriplow Daffodil Weekend</t>
        </is>
      </c>
      <c r="D82" s="16" t="inlineStr">
        <is>
          <t>Организатор</t>
        </is>
      </c>
      <c r="E82" s="16" t="inlineStr">
        <is>
          <t>https://www.thriplowdaffodils.org.uk</t>
        </is>
      </c>
      <c r="F82" s="16" t="inlineStr">
        <is>
          <t>Нарциссовый фестиваль в деревне Thriplow, март; до 10 тыс. гостей, деревня без машин</t>
        </is>
      </c>
      <c r="G82" s="16" t="inlineStr">
        <is>
          <t>30 мин</t>
        </is>
      </c>
      <c r="H82" s="16" t="inlineStr">
        <is>
          <t>HTML</t>
        </is>
      </c>
      <c r="I82" s="16" t="inlineStr">
        <is>
          <t>Ежегодно</t>
        </is>
      </c>
      <c r="J82" s="16" t="n">
        <v>1</v>
      </c>
      <c r="K82" s="16" t="inlineStr">
        <is>
          <t>да</t>
        </is>
      </c>
      <c r="L82" s="16" t="inlineStr">
        <is>
          <t>Бывали отмены, если нарциссы не зацвели — мониторить Этап 6: ежегодное — через recurring_events (R02)</t>
        </is>
      </c>
      <c r="M82" s="10" t="inlineStr">
        <is>
          <t>https://www.thriplowdaffodils.org.uk</t>
        </is>
      </c>
      <c r="N82" s="10" t="inlineStr">
        <is>
          <t>разрешено</t>
        </is>
      </c>
      <c r="O82" s="10" t="inlineStr">
        <is>
          <t>2026-09-28</t>
        </is>
      </c>
    </row>
    <row r="83" ht="35.05" customHeight="1" s="11">
      <c r="A83" s="16" t="inlineStr">
        <is>
          <t>S082</t>
        </is>
      </c>
      <c r="B83" s="16" t="inlineStr">
        <is>
          <t>Спорт — смотреть</t>
        </is>
      </c>
      <c r="C83" s="16" t="inlineStr">
        <is>
          <t>Cambridge Dragon Boat Festival (ACT)</t>
        </is>
      </c>
      <c r="D83" s="16" t="inlineStr">
        <is>
          <t>Организатор</t>
        </is>
      </c>
      <c r="E83" s="16" t="inlineStr">
        <is>
          <t>https://act4addenbrookes.org.uk</t>
        </is>
      </c>
      <c r="F83" s="16" t="inlineStr">
        <is>
          <t>Гонки драконьих лодок на Cam у Fen Ditton, сентябрь; 48 корпоративных команд, семейная программа на берегу</t>
        </is>
      </c>
      <c r="G83" s="16" t="inlineStr">
        <is>
          <t>Центр</t>
        </is>
      </c>
      <c r="H83" s="16" t="inlineStr">
        <is>
          <t>HTML</t>
        </is>
      </c>
      <c r="I83" s="16" t="inlineStr">
        <is>
          <t>Ежегодно</t>
        </is>
      </c>
      <c r="J83" s="16" t="n">
        <v>1</v>
      </c>
      <c r="K83" s="16" t="inlineStr">
        <is>
          <t>да</t>
        </is>
      </c>
      <c r="L83" s="16" t="inlineStr">
        <is>
          <t>Благотворительный, в пользу Addenbrooke's. v0.4: ежегодно; /feed/ — новости; в WP REST есть тип events — проверить на этапе 2 Этап 6: ежегодное — через recurring_events (R10)</t>
        </is>
      </c>
      <c r="M83" s="10" t="inlineStr">
        <is>
          <t>https://act4addenbrookes.org.uk/dragonboat/</t>
        </is>
      </c>
      <c r="N83" s="10" t="inlineStr">
        <is>
          <t>разрешено</t>
        </is>
      </c>
      <c r="O83" s="10" t="inlineStr">
        <is>
          <t>2026-09-28</t>
        </is>
      </c>
    </row>
    <row r="84" ht="23.85" customHeight="1" s="11">
      <c r="A84" s="16" t="inlineStr">
        <is>
          <t>S083</t>
        </is>
      </c>
      <c r="B84" s="16" t="inlineStr">
        <is>
          <t>Фестивали</t>
        </is>
      </c>
      <c r="C84" s="16" t="inlineStr">
        <is>
          <t>«Nihao! China» Cambridge Dragon Boat Festival</t>
        </is>
      </c>
      <c r="D84" s="16" t="inlineStr">
        <is>
          <t>Организатор</t>
        </is>
      </c>
      <c r="E84" s="17" t="n"/>
      <c r="F84" s="16" t="inlineStr">
        <is>
          <t>Китайский фестиваль драконьих лодок на Jesus Green и Cam, июнь</t>
        </is>
      </c>
      <c r="G84" s="16" t="inlineStr">
        <is>
          <t>Центр</t>
        </is>
      </c>
      <c r="H84" s="16" t="inlineStr">
        <is>
          <t>Ручной (ежегодно)</t>
        </is>
      </c>
      <c r="I84" s="16" t="inlineStr">
        <is>
          <t>Ежегодно</t>
        </is>
      </c>
      <c r="J84" s="16" t="n">
        <v>2</v>
      </c>
      <c r="K84" s="17" t="inlineStr">
        <is>
          <t>да</t>
        </is>
      </c>
      <c r="L84" s="16" t="inlineStr">
        <is>
          <t>Этап 5: ежегодное — фестиваль в июне; билеты на Eventbrite (S008)</t>
        </is>
      </c>
      <c r="M84" s="10" t="inlineStr">
        <is>
          <t>https://www.eventbrite.com/e/nihao-china-cambridge-dragon-boat-festival-2026-tickets-1985873566295</t>
        </is>
      </c>
      <c r="N84" s="10" t="inlineStr">
        <is>
          <t>разрешено</t>
        </is>
      </c>
      <c r="O84" s="10" t="inlineStr">
        <is>
          <t>2026-09-28</t>
        </is>
      </c>
    </row>
    <row r="85" ht="23.85" customHeight="1" s="11">
      <c r="A85" s="18" t="inlineStr">
        <is>
          <t>S084</t>
        </is>
      </c>
      <c r="B85" s="16" t="inlineStr">
        <is>
          <t>Спорт — смотреть</t>
        </is>
      </c>
      <c r="C85" s="16" t="inlineStr">
        <is>
          <t>Cambridgeshire Cats (американский футбол)</t>
        </is>
      </c>
      <c r="D85" s="16" t="inlineStr">
        <is>
          <t>Клуб</t>
        </is>
      </c>
      <c r="E85" s="17" t="n"/>
      <c r="F85" s="16" t="inlineStr">
        <is>
          <t>BAFA Premier Division South, домашние игры в Shelford Rugby Club</t>
        </is>
      </c>
      <c r="G85" s="16" t="inlineStr">
        <is>
          <t>30 мин</t>
        </is>
      </c>
      <c r="H85" s="16" t="inlineStr">
        <is>
          <t>HTML / соцсети</t>
        </is>
      </c>
      <c r="I85" s="16" t="inlineStr">
        <is>
          <t>Еженедельно в сезон</t>
        </is>
      </c>
      <c r="J85" s="16" t="n">
        <v>2</v>
      </c>
      <c r="K85" s="17" t="inlineStr">
        <is>
          <t>да</t>
        </is>
      </c>
      <c r="L85" s="16" t="inlineStr">
        <is>
          <t>Этап 5: отложен — сайт WordPress (новости), страницы расписания нет; сезон BAFA — весна–лето, сейчас матчей нет</t>
        </is>
      </c>
      <c r="M85" s="10" t="inlineStr">
        <is>
          <t>https://cambridgeshirecats.com/feed/</t>
        </is>
      </c>
      <c r="N85" s="10" t="inlineStr">
        <is>
          <t>разрешено</t>
        </is>
      </c>
      <c r="O85" s="10" t="inlineStr">
        <is>
          <t>2026-09-28</t>
        </is>
      </c>
    </row>
    <row r="86" ht="23.85" customHeight="1" s="11">
      <c r="A86" s="18" t="inlineStr">
        <is>
          <t>S085</t>
        </is>
      </c>
      <c r="B86" s="16" t="inlineStr">
        <is>
          <t>Спорт — смотреть</t>
        </is>
      </c>
      <c r="C86" s="16" t="inlineStr">
        <is>
          <t>Cambridge Pythons (университетский ам. футбол)</t>
        </is>
      </c>
      <c r="D86" s="16" t="inlineStr">
        <is>
          <t>Клуб</t>
        </is>
      </c>
      <c r="E86" s="17" t="n"/>
      <c r="F86" s="16" t="inlineStr">
        <is>
          <t>BUAFL, университетская лига</t>
        </is>
      </c>
      <c r="G86" s="16" t="inlineStr">
        <is>
          <t>Центр</t>
        </is>
      </c>
      <c r="H86" s="16" t="inlineStr">
        <is>
          <t>HTML / соцсети</t>
        </is>
      </c>
      <c r="I86" s="16" t="inlineStr">
        <is>
          <t>Еженедельно в сезон</t>
        </is>
      </c>
      <c r="J86" s="16" t="n">
        <v>3</v>
      </c>
      <c r="K86" s="17" t="inlineStr">
        <is>
          <t>нет</t>
        </is>
      </c>
      <c r="L86" s="16" t="inlineStr">
        <is>
          <t>Этап 6: отложен — Cambridge Pythons: сайт отвечает 502, сезон BAFA весна–лето — проверить весной вместе с Cambridgeshire Cats (R18)</t>
        </is>
      </c>
      <c r="O86" t="inlineStr">
        <is>
          <t>2026-09-28</t>
        </is>
      </c>
    </row>
    <row r="87" ht="23.85" customHeight="1" s="11">
      <c r="A87" s="16" t="inlineStr">
        <is>
          <t>S086</t>
        </is>
      </c>
      <c r="B87" s="16" t="inlineStr">
        <is>
          <t>Сообщества и благотворительность</t>
        </is>
      </c>
      <c r="C87" s="16" t="inlineStr">
        <is>
          <t>Addenbrooke's Charitable Trust — события</t>
        </is>
      </c>
      <c r="D87" s="16" t="inlineStr">
        <is>
          <t>Организатор</t>
        </is>
      </c>
      <c r="E87" s="16" t="inlineStr">
        <is>
          <t>https://act4addenbrookes.org.uk</t>
        </is>
      </c>
      <c r="F87" s="16" t="inlineStr">
        <is>
          <t>Благотворительные забеги, лодки, челленджи</t>
        </is>
      </c>
      <c r="G87" s="16" t="inlineStr">
        <is>
          <t>Центр + 30 мин</t>
        </is>
      </c>
      <c r="H87" s="16" t="inlineStr">
        <is>
          <t>HTML</t>
        </is>
      </c>
      <c r="I87" s="16" t="inlineStr">
        <is>
          <t>Еженедельно</t>
        </is>
      </c>
      <c r="J87" s="16" t="n">
        <v>2</v>
      </c>
      <c r="K87" s="16" t="inlineStr">
        <is>
          <t>да</t>
        </is>
      </c>
      <c r="L87" s="16" t="inlineStr">
        <is>
          <t>Этап 5: отложен — WordPress events + RSS; благотворительные забеги и челленджи — разбор HTML Этап 6: не нужен — Addenbrooke's Charitable Trust: благотворительные забеги и акции для участников, не события для зрителей; Dragon Boat Festival — в recurring (R10)</t>
        </is>
      </c>
      <c r="M87" s="10" t="inlineStr">
        <is>
          <t>https://act4addenbrookes.org.uk/feed/</t>
        </is>
      </c>
      <c r="N87" s="10" t="inlineStr">
        <is>
          <t>разрешено</t>
        </is>
      </c>
      <c r="O87" s="10" t="inlineStr">
        <is>
          <t>2026-09-28</t>
        </is>
      </c>
    </row>
    <row r="88" ht="35.05" customHeight="1" s="11">
      <c r="A88" s="16" t="inlineStr">
        <is>
          <t>S087</t>
        </is>
      </c>
      <c r="B88" s="16" t="inlineStr">
        <is>
          <t>Еда и напитки</t>
        </is>
      </c>
      <c r="C88" s="16" t="inlineStr">
        <is>
          <t>The Cambridge Foodies</t>
        </is>
      </c>
      <c r="D88" s="16" t="inlineStr">
        <is>
          <t>Блог / СМИ</t>
        </is>
      </c>
      <c r="E88" s="16" t="inlineStr">
        <is>
          <t>https://cambridgefoodies.me.uk</t>
        </is>
      </c>
      <c r="F88" s="16" t="inlineStr">
        <is>
          <t>Открытия и обзоры ресторанов и кафе, в т.ч. Mill Road, Ely, Royston</t>
        </is>
      </c>
      <c r="G88" s="16" t="inlineStr">
        <is>
          <t>Центр + 30 мин</t>
        </is>
      </c>
      <c r="H88" s="16" t="inlineStr">
        <is>
          <t>RSS</t>
        </is>
      </c>
      <c r="I88" s="16" t="inlineStr">
        <is>
          <t>Ежедневно</t>
        </is>
      </c>
      <c r="J88" s="16" t="n">
        <v>1</v>
      </c>
      <c r="K88" s="16" t="inlineStr">
        <is>
          <t>да</t>
        </is>
      </c>
      <c r="L88" s="16" t="inlineStr">
        <is>
          <t>Поймал Catte Latte, Hungarian Soul, Buren, Urban Larder. Часть постов рекламные (помечены «ad»), часть за платной подпиской. v0.4: поток «новое в городе», не афиша</t>
        </is>
      </c>
      <c r="M88" s="10" t="inlineStr">
        <is>
          <t>https://cambridgefoodies.me.uk/feed/</t>
        </is>
      </c>
      <c r="N88" s="10" t="inlineStr">
        <is>
          <t>разрешено</t>
        </is>
      </c>
      <c r="O88" s="10" t="inlineStr">
        <is>
          <t>2026-09-27</t>
        </is>
      </c>
    </row>
    <row r="89" ht="35.05" customHeight="1" s="11">
      <c r="A89" s="31" t="inlineStr">
        <is>
          <t>S088</t>
        </is>
      </c>
      <c r="B89" s="16" t="inlineStr">
        <is>
          <t>Спорт — участвовать</t>
        </is>
      </c>
      <c r="C89" s="16" t="inlineStr">
        <is>
          <t>parkrun — Cambridge, Wimpole и др.</t>
        </is>
      </c>
      <c r="D89" s="16" t="inlineStr">
        <is>
          <t>Организатор</t>
        </is>
      </c>
      <c r="E89" s="16" t="inlineStr">
        <is>
          <t>https://www.parkrun.org.uk</t>
        </is>
      </c>
      <c r="F89" s="16" t="inlineStr">
        <is>
          <t>Еженедельные бесплатные 5 км по субботам 9:00, junior parkrun по воскресеньям</t>
        </is>
      </c>
      <c r="G89" s="16" t="inlineStr">
        <is>
          <t>Центр + 30 мин</t>
        </is>
      </c>
      <c r="H89" s="16" t="inlineStr">
        <is>
          <t>Статичный справочник + ручной (спецзабеги: Рождество, Новый год, отмены)</t>
        </is>
      </c>
      <c r="I89" s="16" t="inlineStr">
        <is>
          <t>Еженедельно</t>
        </is>
      </c>
      <c r="J89" s="16" t="n">
        <v>2</v>
      </c>
      <c r="K89" s="17" t="inlineStr">
        <is>
          <t>нет</t>
        </is>
      </c>
      <c r="L89" s="16" t="inlineStr">
        <is>
          <t>Этап 5: закрыт — parkrun.org.uk: robots.txt отвечает 403 — считаем запретом; регулярные забеги — статичный справочник вручную</t>
        </is>
      </c>
      <c r="N89" s="10" t="inlineStr">
        <is>
          <t>—</t>
        </is>
      </c>
      <c r="O89" s="10" t="inlineStr">
        <is>
          <t>2026-09-28</t>
        </is>
      </c>
    </row>
    <row r="90" ht="23.85" customHeight="1" s="11">
      <c r="A90" s="16" t="inlineStr">
        <is>
          <t>S089</t>
        </is>
      </c>
      <c r="B90" s="16" t="inlineStr">
        <is>
          <t>Спорт — участвовать</t>
        </is>
      </c>
      <c r="C90" s="16" t="inlineStr">
        <is>
          <t>Town and Gown 10k</t>
        </is>
      </c>
      <c r="D90" s="16" t="inlineStr">
        <is>
          <t>Организатор</t>
        </is>
      </c>
      <c r="E90" s="18" t="inlineStr">
        <is>
          <t>https://www.townandgown10k.com/</t>
        </is>
      </c>
      <c r="F90" s="16" t="inlineStr">
        <is>
          <t>10 км, октябрь, старт на Midsummer Common, ~3000 участников</t>
        </is>
      </c>
      <c r="G90" s="16" t="inlineStr">
        <is>
          <t>Центр</t>
        </is>
      </c>
      <c r="H90" s="16" t="inlineStr">
        <is>
          <t>Через Cambridge News (S004) и Cambridge 105 (S005)</t>
        </is>
      </c>
      <c r="I90" s="16" t="inlineStr">
        <is>
          <t>Ежегодно</t>
        </is>
      </c>
      <c r="J90" s="16" t="n">
        <v>1</v>
      </c>
      <c r="K90" s="18" t="inlineStr">
        <is>
          <t>нет</t>
        </is>
      </c>
      <c r="L90" s="16" t="inlineStr">
        <is>
          <t>Нужен и для рубрики «Практическое» — перекрытия. v0.4: решение после этапа 1: защиту не обходим; ловим по новостям Cambridge News и Cambridge 105, официальный сайт townandgown10k.com (MDUK) Этап 6: ежегодное — Cloudflare; через статьи и recurring_events (R14, вручную)</t>
        </is>
      </c>
      <c r="N90" s="10" t="inlineStr">
        <is>
          <t>robots.txt: 403</t>
        </is>
      </c>
      <c r="O90" s="10" t="inlineStr">
        <is>
          <t>2026-09-28</t>
        </is>
      </c>
    </row>
    <row r="91">
      <c r="A91" s="10" t="inlineStr">
        <is>
          <t>S090</t>
        </is>
      </c>
      <c r="B91" s="10" t="inlineStr">
        <is>
          <t>Ночная жизнь</t>
        </is>
      </c>
      <c r="C91" s="10" t="inlineStr">
        <is>
          <t>DesignMyNight — Cambridge</t>
        </is>
      </c>
      <c r="D91" s="10" t="inlineStr">
        <is>
          <t>Агрегатор / бронирование</t>
        </is>
      </c>
      <c r="E91" s="19" t="inlineStr">
        <is>
          <t>https://www.designmynight.com/cambridge</t>
        </is>
      </c>
      <c r="F91" s="10" t="inlineStr">
        <is>
          <t>Бары, рестораны, мероприятия в заведениях</t>
        </is>
      </c>
      <c r="G91" s="10" t="inlineStr">
        <is>
          <t>Центр</t>
        </is>
      </c>
      <c r="H91" s="10" t="inlineStr">
        <is>
          <t>— (robots.txt запрещает)</t>
        </is>
      </c>
      <c r="I91" s="10" t="inlineStr">
        <is>
          <t>Еженедельно</t>
        </is>
      </c>
      <c r="J91" s="10" t="n">
        <v>1</v>
      </c>
      <c r="K91" s="19" t="inlineStr">
        <is>
          <t>нет</t>
        </is>
      </c>
      <c r="L91" s="10" t="inlineStr">
        <is>
          <t>Добавлен в v0.4 (решение после этапа 1). v0.4: не собираем; возможен только как справочник заведений для «новое в городе» Этап 6: не собираем — robots.txt запрещает раздел событий</t>
        </is>
      </c>
      <c r="M91" s="10" t="inlineStr">
        <is>
          <t>https://www.designmynight.com/cambridge</t>
        </is>
      </c>
      <c r="N91" s="10" t="inlineStr">
        <is>
          <t>запрещено: /cambridge/whats-on, /api/</t>
        </is>
      </c>
      <c r="O91" s="10" t="inlineStr">
        <is>
          <t>2026-09-28</t>
        </is>
      </c>
    </row>
    <row r="92">
      <c r="A92" s="10" t="inlineStr">
        <is>
          <t>S091</t>
        </is>
      </c>
      <c r="B92" s="10" t="inlineStr">
        <is>
          <t>Сквозные агрегаторы</t>
        </is>
      </c>
      <c r="C92" s="10" t="inlineStr">
        <is>
          <t>Cambridge Live Tickets</t>
        </is>
      </c>
      <c r="D92" s="10" t="inlineStr">
        <is>
          <t>Билетная система</t>
        </is>
      </c>
      <c r="E92" s="10" t="inlineStr">
        <is>
          <t>https://www.cambridgelivetickets.co.uk</t>
        </is>
      </c>
      <c r="F92" s="10" t="inlineStr">
        <is>
          <t>Corn Exchange, Guildhall, городские события Cambridge Live</t>
        </is>
      </c>
      <c r="G92" s="10" t="inlineStr">
        <is>
          <t>Центр</t>
        </is>
      </c>
      <c r="H92" s="10" t="inlineStr">
        <is>
          <t>HTML + JSON-LD</t>
        </is>
      </c>
      <c r="I92" s="10" t="inlineStr">
        <is>
          <t>Ежедневно</t>
        </is>
      </c>
      <c r="J92" s="10" t="n">
        <v>1</v>
      </c>
      <c r="K92" s="10" t="inlineStr">
        <is>
          <t>да</t>
        </is>
      </c>
      <c r="L92" s="10" t="inlineStr">
        <is>
          <t>Добавлен в v0.4 (решение после этапа 1). v0.4: список ?page=1..4 в HTML (~24 на страницу), JSON-LD Event с postcode на странице события; пересекается с S011 и S072</t>
        </is>
      </c>
      <c r="M92" s="10" t="inlineStr">
        <is>
          <t>https://www.cambridgelivetickets.co.uk/events</t>
        </is>
      </c>
      <c r="N92" s="10" t="inlineStr">
        <is>
          <t>разрешено</t>
        </is>
      </c>
      <c r="O92" s="10" t="inlineStr">
        <is>
          <t>2026-09-27</t>
        </is>
      </c>
    </row>
    <row r="93">
      <c r="A93" s="10" t="inlineStr">
        <is>
          <t>S092</t>
        </is>
      </c>
      <c r="B93" s="10" t="inlineStr">
        <is>
          <t>Новое в городе</t>
        </is>
      </c>
      <c r="C93" s="10" t="inlineStr">
        <is>
          <t>Cambridge Independent — News/Business</t>
        </is>
      </c>
      <c r="D93" s="10" t="inlineStr">
        <is>
          <t>СМИ (RSS)</t>
        </is>
      </c>
      <c r="E93" s="10" t="inlineStr">
        <is>
          <t>https://www.cambridgeindependent.co.uk/rss-feeds/</t>
        </is>
      </c>
      <c r="F93" s="10" t="inlineStr">
        <is>
          <t>Открытия/закрытия заведений, отмены</t>
        </is>
      </c>
      <c r="G93" s="10" t="inlineStr">
        <is>
          <t>Центр + час</t>
        </is>
      </c>
      <c r="H93" s="10" t="inlineStr">
        <is>
          <t>RSS + извлечение Claude</t>
        </is>
      </c>
      <c r="I93" s="10" t="inlineStr">
        <is>
          <t>Ежедневно</t>
        </is>
      </c>
      <c r="J93" s="10" t="n">
        <v>1</v>
      </c>
      <c r="K93" s="10" t="inlineStr">
        <is>
          <t>да</t>
        </is>
      </c>
      <c r="L93" s="10" t="inlineStr">
        <is>
          <t>Добавлен в v0.4 (бриф v3, «Новое в городе»). v0.4: по 20 записей в Business и News; коллектор collectors/sources/cambridge_independent_business.py</t>
        </is>
      </c>
      <c r="M93" s="10" t="inlineStr">
        <is>
          <t>https://www.cambridgeindependent.co.uk/_api/rss/cambridge_independent_business_feed.xml (+ news_feed.xml)</t>
        </is>
      </c>
      <c r="N93" s="10" t="inlineStr">
        <is>
          <t>разрешено</t>
        </is>
      </c>
      <c r="O93" s="10" t="inlineStr">
        <is>
          <t>2026-09-27</t>
        </is>
      </c>
    </row>
    <row r="94">
      <c r="A94" s="10" t="inlineStr">
        <is>
          <t>S093</t>
        </is>
      </c>
      <c r="B94" s="10" t="inlineStr">
        <is>
          <t>Новое в городе</t>
        </is>
      </c>
      <c r="C94" s="10" t="inlineStr">
        <is>
          <t>Cambridge News — Food &amp; Drink, Shopping</t>
        </is>
      </c>
      <c r="D94" s="10" t="inlineStr">
        <is>
          <t>СМИ (RSS)</t>
        </is>
      </c>
      <c r="E94" s="10" t="inlineStr">
        <is>
          <t>https://www.cambridge-news.co.uk/all-about/food-and-drink</t>
        </is>
      </c>
      <c r="F94" s="10" t="inlineStr">
        <is>
          <t>Открытия ресторанов, кафе, магазинов</t>
        </is>
      </c>
      <c r="G94" s="10" t="inlineStr">
        <is>
          <t>Центр + час</t>
        </is>
      </c>
      <c r="H94" s="10" t="inlineStr">
        <is>
          <t>RSS + извлечение Claude</t>
        </is>
      </c>
      <c r="I94" s="10" t="inlineStr">
        <is>
          <t>Ежедневно</t>
        </is>
      </c>
      <c r="J94" s="10" t="n">
        <v>1</v>
      </c>
      <c r="K94" s="10" t="inlineStr">
        <is>
          <t>да</t>
        </is>
      </c>
      <c r="L94" s="10" t="inlineStr">
        <is>
          <t>Добавлен в v0.4 (бриф v3, «Новое в городе»). v0.4: раздела /news/business/ нет (404); есть теги all-about/food-and-drink и all-about/shopping с RSS (?service=rss); общий фид новостей — в S004</t>
        </is>
      </c>
      <c r="M94" s="10" t="inlineStr">
        <is>
          <t>https://www.cambridge-news.co.uk/all-about/food-and-drink?service=rss (+ shopping)</t>
        </is>
      </c>
      <c r="N94" s="10" t="inlineStr">
        <is>
          <t>разрешено</t>
        </is>
      </c>
      <c r="O94" s="10" t="inlineStr">
        <is>
          <t>2026-09-27</t>
        </is>
      </c>
    </row>
    <row r="95">
      <c r="A95" s="10" t="inlineStr">
        <is>
          <t>S094</t>
        </is>
      </c>
      <c r="B95" s="10" t="inlineStr">
        <is>
          <t>Новое в городе</t>
        </is>
      </c>
      <c r="C95" s="10" t="inlineStr">
        <is>
          <t>Grand Arcade — магазины</t>
        </is>
      </c>
      <c r="D95" s="10" t="inlineStr">
        <is>
          <t>Торговый центр</t>
        </is>
      </c>
      <c r="E95" s="10" t="inlineStr">
        <is>
          <t>https://www.grandarcade.co.uk/</t>
        </is>
      </c>
      <c r="F95" s="10" t="inlineStr">
        <is>
          <t>Новые арендаторы</t>
        </is>
      </c>
      <c r="G95" s="10" t="inlineStr">
        <is>
          <t>Центр</t>
        </is>
      </c>
      <c r="H95" s="10" t="inlineStr">
        <is>
          <t>HTML (список магазинов, сравнение)</t>
        </is>
      </c>
      <c r="I95" s="10" t="inlineStr">
        <is>
          <t>Еженедельно</t>
        </is>
      </c>
      <c r="J95" s="10" t="n">
        <v>1</v>
      </c>
      <c r="K95" s="10" t="inlineStr">
        <is>
          <t>да</t>
        </is>
      </c>
      <c r="L95" s="10" t="inlineStr">
        <is>
          <t>Добавлен в v0.4 (бриф v3, «Новое в городе»). v0.4: RSS пуст, раздела новостей нет; 55 магазинов в /stores/ — новые арендаторы по сравнению с прошлым прогоном (первый прогон — база)</t>
        </is>
      </c>
      <c r="M95" s="10" t="inlineStr">
        <is>
          <t>https://www.grandarcade.co.uk/stores/</t>
        </is>
      </c>
      <c r="N95" s="10" t="inlineStr">
        <is>
          <t>разрешено</t>
        </is>
      </c>
      <c r="O95" s="10" t="inlineStr">
        <is>
          <t>2026-09-27</t>
        </is>
      </c>
    </row>
    <row r="96">
      <c r="A96" s="10" t="inlineStr">
        <is>
          <t>S095</t>
        </is>
      </c>
      <c r="B96" s="10" t="inlineStr">
        <is>
          <t>Новое в городе</t>
        </is>
      </c>
      <c r="C96" s="10" t="inlineStr">
        <is>
          <t>Lion Yard — магазины</t>
        </is>
      </c>
      <c r="D96" s="10" t="inlineStr">
        <is>
          <t>Торговый центр</t>
        </is>
      </c>
      <c r="E96" s="10" t="inlineStr">
        <is>
          <t>https://www.thelionyard.co.uk/</t>
        </is>
      </c>
      <c r="F96" s="10" t="inlineStr">
        <is>
          <t>Новые арендаторы</t>
        </is>
      </c>
      <c r="G96" s="10" t="inlineStr">
        <is>
          <t>Центр</t>
        </is>
      </c>
      <c r="H96" s="10" t="inlineStr">
        <is>
          <t>HTML (список магазинов, сравнение)</t>
        </is>
      </c>
      <c r="I96" s="10" t="inlineStr">
        <is>
          <t>Еженедельно</t>
        </is>
      </c>
      <c r="J96" s="10" t="n">
        <v>1</v>
      </c>
      <c r="K96" s="10" t="inlineStr">
        <is>
          <t>да</t>
        </is>
      </c>
      <c r="L96" s="10" t="inlineStr">
        <is>
          <t>Добавлен в v0.4 (бриф v3, «Новое в городе»). v0.4: официальный сайт — thelionyard.co.uk (lionyard.co.uk не отвечает); новостей нет; data-name у каждого магазина</t>
        </is>
      </c>
      <c r="M96" s="10" t="inlineStr">
        <is>
          <t>https://www.thelionyard.co.uk/stores/</t>
        </is>
      </c>
      <c r="N96" s="10" t="inlineStr">
        <is>
          <t>разрешено</t>
        </is>
      </c>
      <c r="O96" s="10" t="inlineStr">
        <is>
          <t>2026-09-27</t>
        </is>
      </c>
    </row>
    <row r="97">
      <c r="A97" s="10" t="inlineStr">
        <is>
          <t>S096</t>
        </is>
      </c>
      <c r="B97" s="10" t="inlineStr">
        <is>
          <t>Новое в городе</t>
        </is>
      </c>
      <c r="C97" s="10" t="inlineStr">
        <is>
          <t>The Grafton — магазины</t>
        </is>
      </c>
      <c r="D97" s="10" t="inlineStr">
        <is>
          <t>Торговый центр</t>
        </is>
      </c>
      <c r="E97" s="10" t="inlineStr">
        <is>
          <t>https://graftoncentre.co.uk/</t>
        </is>
      </c>
      <c r="F97" s="10" t="inlineStr">
        <is>
          <t>Новые арендаторы</t>
        </is>
      </c>
      <c r="G97" s="10" t="inlineStr">
        <is>
          <t>Центр</t>
        </is>
      </c>
      <c r="H97" s="10" t="inlineStr">
        <is>
          <t>HTML (список магазинов, сравнение)</t>
        </is>
      </c>
      <c r="I97" s="10" t="inlineStr">
        <is>
          <t>Еженедельно</t>
        </is>
      </c>
      <c r="J97" s="10" t="n">
        <v>1</v>
      </c>
      <c r="K97" s="10" t="inlineStr">
        <is>
          <t>да</t>
        </is>
      </c>
      <c r="L97" s="10" t="inlineStr">
        <is>
          <t>Добавлен в v0.4 (бриф v3, «Новое в городе»). v0.4: RSS /feed/ пуст; список /stores/</t>
        </is>
      </c>
      <c r="M97" s="10" t="inlineStr">
        <is>
          <t>https://graftoncentre.co.uk/stores/</t>
        </is>
      </c>
      <c r="N97" s="10" t="inlineStr">
        <is>
          <t>разрешено</t>
        </is>
      </c>
      <c r="O97" s="10" t="inlineStr">
        <is>
          <t>2026-09-27</t>
        </is>
      </c>
    </row>
    <row r="98">
      <c r="A98" s="10" t="inlineStr">
        <is>
          <t>S097</t>
        </is>
      </c>
      <c r="B98" s="10" t="inlineStr">
        <is>
          <t>Новое в городе</t>
        </is>
      </c>
      <c r="C98" s="10" t="inlineStr">
        <is>
          <t>Cambridge BID — новости</t>
        </is>
      </c>
      <c r="D98" s="10" t="inlineStr">
        <is>
          <t>Организация (RSS)</t>
        </is>
      </c>
      <c r="E98" s="10" t="inlineStr">
        <is>
          <t>https://www.cambridgebid.co.uk/news</t>
        </is>
      </c>
      <c r="F98" s="10" t="inlineStr">
        <is>
          <t>Новости центра города, городские события</t>
        </is>
      </c>
      <c r="G98" s="10" t="inlineStr">
        <is>
          <t>Центр</t>
        </is>
      </c>
      <c r="H98" s="10" t="inlineStr">
        <is>
          <t>RSS (без Claude до решения)</t>
        </is>
      </c>
      <c r="I98" s="10" t="inlineStr">
        <is>
          <t>Еженедельно</t>
        </is>
      </c>
      <c r="J98" s="10" t="n">
        <v>1</v>
      </c>
      <c r="K98" s="10" t="inlineStr">
        <is>
          <t>да</t>
        </is>
      </c>
      <c r="L98" s="10" t="inlineStr">
        <is>
          <t>Добавлен в v0.4 (бриф v3, «Новое в городе»). v0.4: Squarespace; robots.txt закрывает сайт для ИИ-краулеров (anthropic-ai, GPTBot и др.) — наш User-Agent не в списке, но статьи в Claude не передаём до решения владельца</t>
        </is>
      </c>
      <c r="M98" s="10" t="inlineStr">
        <is>
          <t>https://www.cambridgebid.co.uk/news?format=rss</t>
        </is>
      </c>
      <c r="N98" s="10" t="inlineStr">
        <is>
          <t>разрешено</t>
        </is>
      </c>
      <c r="O98" s="10" t="inlineStr">
        <is>
          <t>2026-09-27</t>
        </is>
      </c>
    </row>
    <row r="99">
      <c r="A99" t="inlineStr">
        <is>
          <t>S098</t>
        </is>
      </c>
      <c r="B99" s="10" t="inlineStr">
        <is>
          <t>Расширение географии (этап 5)</t>
        </is>
      </c>
      <c r="C99" s="10" t="inlineStr">
        <is>
          <t>South Cambridgeshire District Council</t>
        </is>
      </c>
      <c r="D99" s="10" t="inlineStr">
        <is>
          <t>Совет</t>
        </is>
      </c>
      <c r="E99" s="10" t="inlineStr">
        <is>
          <t>https://www.scambs.gov.uk</t>
        </is>
      </c>
      <c r="F99" s="10" t="inlineStr">
        <is>
          <t>Район South Cambridgeshire</t>
        </is>
      </c>
      <c r="G99" s="10" t="inlineStr">
        <is>
          <t>Час / Кембриджшир</t>
        </is>
      </c>
      <c r="H99" s="10" t="inlineStr">
        <is>
          <t>HTML</t>
        </is>
      </c>
      <c r="I99" s="10" t="inlineStr">
        <is>
          <t>Ежедневно</t>
        </is>
      </c>
      <c r="J99" s="10" t="n">
        <v>2</v>
      </c>
      <c r="K99" s="10" t="inlineStr">
        <is>
          <t>да</t>
        </is>
      </c>
      <c r="L99" s="10" t="inlineStr">
        <is>
          <t>Этап 5: отложен — страница /events есть, событийных данных нет Этап 6: не нужен — South Cambridgeshire DC: календарь — заседания совета, не публичные события</t>
        </is>
      </c>
      <c r="M99" s="10" t="inlineStr">
        <is>
          <t>https://www.scambs.gov.uk</t>
        </is>
      </c>
      <c r="N99" s="10" t="inlineStr">
        <is>
          <t>разрешено</t>
        </is>
      </c>
      <c r="O99" s="10" t="inlineStr">
        <is>
          <t>2026-09-28</t>
        </is>
      </c>
    </row>
    <row r="100">
      <c r="A100" t="inlineStr">
        <is>
          <t>S099</t>
        </is>
      </c>
      <c r="B100" s="10" t="inlineStr">
        <is>
          <t>Расширение географии (этап 5)</t>
        </is>
      </c>
      <c r="C100" s="10" t="inlineStr">
        <is>
          <t>East Cambridgeshire District Council</t>
        </is>
      </c>
      <c r="D100" s="10" t="inlineStr">
        <is>
          <t>Совет</t>
        </is>
      </c>
      <c r="E100" s="10" t="inlineStr">
        <is>
          <t>https://www.eastcambs.gov.uk</t>
        </is>
      </c>
      <c r="F100" s="10" t="inlineStr">
        <is>
          <t>Район East Cambridgeshire (Ely, Soham)</t>
        </is>
      </c>
      <c r="G100" s="10" t="inlineStr">
        <is>
          <t>Час / Кембриджшир</t>
        </is>
      </c>
      <c r="H100" s="10" t="inlineStr">
        <is>
          <t>HTML</t>
        </is>
      </c>
      <c r="I100" s="10" t="inlineStr">
        <is>
          <t>Ежедневно</t>
        </is>
      </c>
      <c r="J100" s="10" t="n">
        <v>2</v>
      </c>
      <c r="K100" s="10" t="inlineStr">
        <is>
          <t>да</t>
        </is>
      </c>
      <c r="L100" s="10" t="inlineStr">
        <is>
          <t>Этап 5: отложен — Drupal, /events без структурированных данных Этап 6: не нужен — East Cambridgeshire DC: страница событий пуста</t>
        </is>
      </c>
      <c r="M100" s="10" t="inlineStr">
        <is>
          <t>https://eastcambs.gov.uk/</t>
        </is>
      </c>
      <c r="N100" s="10" t="inlineStr">
        <is>
          <t>разрешено</t>
        </is>
      </c>
      <c r="O100" s="10" t="inlineStr">
        <is>
          <t>2026-09-28</t>
        </is>
      </c>
    </row>
    <row r="101">
      <c r="A101" s="19" t="inlineStr">
        <is>
          <t>S100</t>
        </is>
      </c>
      <c r="B101" s="10" t="inlineStr">
        <is>
          <t>Расширение географии (этап 5)</t>
        </is>
      </c>
      <c r="C101" s="10" t="inlineStr">
        <is>
          <t>Huntingdonshire District Council</t>
        </is>
      </c>
      <c r="D101" s="10" t="inlineStr">
        <is>
          <t>Совет</t>
        </is>
      </c>
      <c r="E101" s="10" t="inlineStr">
        <is>
          <t>https://www.huntingdonshire.gov.uk</t>
        </is>
      </c>
      <c r="F101" s="10" t="inlineStr">
        <is>
          <t>Район Huntingdonshire</t>
        </is>
      </c>
      <c r="G101" s="10" t="inlineStr">
        <is>
          <t>Час / Кембриджшир</t>
        </is>
      </c>
      <c r="H101" s="10" t="inlineStr">
        <is>
          <t>HTML</t>
        </is>
      </c>
      <c r="I101" s="10" t="inlineStr">
        <is>
          <t>Ежедневно</t>
        </is>
      </c>
      <c r="J101" s="10" t="n">
        <v>2</v>
      </c>
      <c r="K101" s="10" t="inlineStr">
        <is>
          <t>нет</t>
        </is>
      </c>
      <c r="L101" s="10" t="inlineStr">
        <is>
          <t>Этап 5: отложен — события Hinchingbrooke Country Park — через TicketSource; разбор HTML Этап 6: закрыт — Hinchingbrooke Country Park: события только на TicketSource (robots.txt отвечает 403 — считаем запретом) и в Facebook (не парсим); страница совета без дат — проверить на этапе 6b через поиск</t>
        </is>
      </c>
      <c r="M101" s="10" t="inlineStr">
        <is>
          <t>https://www.huntingdonshire.gov.uk</t>
        </is>
      </c>
      <c r="N101" s="10" t="inlineStr">
        <is>
          <t>разрешено</t>
        </is>
      </c>
      <c r="O101" s="10" t="inlineStr">
        <is>
          <t>2026-09-28</t>
        </is>
      </c>
    </row>
    <row r="102">
      <c r="A102" s="19" t="inlineStr">
        <is>
          <t>S101</t>
        </is>
      </c>
      <c r="B102" s="10" t="inlineStr">
        <is>
          <t>Расширение географии (этап 5)</t>
        </is>
      </c>
      <c r="C102" s="10" t="inlineStr">
        <is>
          <t>Fenland District Council</t>
        </is>
      </c>
      <c r="D102" s="10" t="inlineStr">
        <is>
          <t>Совет</t>
        </is>
      </c>
      <c r="E102" s="10" t="inlineStr">
        <is>
          <t>https://www.fenland.gov.uk</t>
        </is>
      </c>
      <c r="F102" s="10" t="inlineStr">
        <is>
          <t>Район Fenland (Wisbech, March, Whittlesey, Chatteris)</t>
        </is>
      </c>
      <c r="G102" s="10" t="inlineStr">
        <is>
          <t>Час / Кембриджшир</t>
        </is>
      </c>
      <c r="I102" s="10" t="inlineStr">
        <is>
          <t>Ежедневно</t>
        </is>
      </c>
      <c r="J102" s="10" t="n">
        <v>2</v>
      </c>
      <c r="K102" s="10" t="inlineStr">
        <is>
          <t>нет</t>
        </is>
      </c>
      <c r="L102" s="10" t="inlineStr">
        <is>
          <t>Этап 5: закрыт — robots.txt отвечает 403</t>
        </is>
      </c>
      <c r="N102" s="10" t="inlineStr">
        <is>
          <t>—</t>
        </is>
      </c>
      <c r="O102" s="10" t="inlineStr">
        <is>
          <t>2026-09-28</t>
        </is>
      </c>
    </row>
    <row r="103">
      <c r="A103" s="10" t="inlineStr">
        <is>
          <t>S102</t>
        </is>
      </c>
      <c r="B103" s="10" t="inlineStr">
        <is>
          <t>Расширение географии (этап 5)</t>
        </is>
      </c>
      <c r="C103" s="10" t="inlineStr">
        <is>
          <t>Peterborough City Council</t>
        </is>
      </c>
      <c r="D103" s="10" t="inlineStr">
        <is>
          <t>Совет</t>
        </is>
      </c>
      <c r="E103" s="10" t="inlineStr">
        <is>
          <t>https://www.peterborough.gov.uk</t>
        </is>
      </c>
      <c r="F103" s="10" t="inlineStr">
        <is>
          <t>Питерборо</t>
        </is>
      </c>
      <c r="G103" s="10" t="inlineStr">
        <is>
          <t>Час / Кембриджшир</t>
        </is>
      </c>
      <c r="H103" s="10" t="inlineStr">
        <is>
          <t>HTML</t>
        </is>
      </c>
      <c r="I103" s="10" t="inlineStr">
        <is>
          <t>Ежедневно</t>
        </is>
      </c>
      <c r="J103" s="10" t="n">
        <v>2</v>
      </c>
      <c r="K103" s="10" t="inlineStr">
        <is>
          <t>да</t>
        </is>
      </c>
      <c r="L103" s="10" t="inlineStr">
        <is>
          <t>Этап 5: не нужен — раздела событий нет (404)</t>
        </is>
      </c>
      <c r="M103" s="10" t="inlineStr">
        <is>
          <t>https://www.peterborough.gov.uk</t>
        </is>
      </c>
      <c r="N103" s="10" t="inlineStr">
        <is>
          <t>разрешено</t>
        </is>
      </c>
      <c r="O103" s="10" t="inlineStr">
        <is>
          <t>2026-09-28</t>
        </is>
      </c>
    </row>
    <row r="104">
      <c r="A104" s="19" t="inlineStr">
        <is>
          <t>S103</t>
        </is>
      </c>
      <c r="B104" s="10" t="inlineStr">
        <is>
          <t>Расширение географии (этап 5)</t>
        </is>
      </c>
      <c r="C104" s="10" t="inlineStr">
        <is>
          <t>Ely City Council</t>
        </is>
      </c>
      <c r="D104" s="10" t="inlineStr">
        <is>
          <t>Городской совет</t>
        </is>
      </c>
      <c r="E104" s="10" t="inlineStr">
        <is>
          <t>https://www.cityofelycouncil.org.uk</t>
        </is>
      </c>
      <c r="F104" s="10" t="inlineStr">
        <is>
          <t>Ely</t>
        </is>
      </c>
      <c r="G104" s="10" t="inlineStr">
        <is>
          <t>Час / Кембриджшир</t>
        </is>
      </c>
      <c r="I104" s="10" t="inlineStr">
        <is>
          <t>Ежедневно</t>
        </is>
      </c>
      <c r="J104" s="10" t="n">
        <v>2</v>
      </c>
      <c r="K104" s="10" t="inlineStr">
        <is>
          <t>нет</t>
        </is>
      </c>
      <c r="L104" s="10" t="inlineStr">
        <is>
          <t>Этап 5: закрыт — cityofelycouncil.org.uk: robots.txt отвечает 403</t>
        </is>
      </c>
      <c r="N104" s="10" t="inlineStr">
        <is>
          <t>—</t>
        </is>
      </c>
      <c r="O104" s="10" t="inlineStr">
        <is>
          <t>2026-09-28</t>
        </is>
      </c>
    </row>
    <row r="105">
      <c r="A105" s="19" t="inlineStr">
        <is>
          <t>S104</t>
        </is>
      </c>
      <c r="B105" s="10" t="inlineStr">
        <is>
          <t>Расширение географии (этап 5)</t>
        </is>
      </c>
      <c r="C105" s="10" t="inlineStr">
        <is>
          <t>St Ives Town Council</t>
        </is>
      </c>
      <c r="D105" s="10" t="inlineStr">
        <is>
          <t>Городской совет</t>
        </is>
      </c>
      <c r="E105" s="10" t="inlineStr">
        <is>
          <t>https://www.stivestowncouncil.gov.uk</t>
        </is>
      </c>
      <c r="F105" s="10" t="inlineStr">
        <is>
          <t>St Ives</t>
        </is>
      </c>
      <c r="G105" s="10" t="inlineStr">
        <is>
          <t>Час / Кембриджшир</t>
        </is>
      </c>
      <c r="I105" s="10" t="inlineStr">
        <is>
          <t>Ежедневно</t>
        </is>
      </c>
      <c r="J105" s="10" t="n">
        <v>2</v>
      </c>
      <c r="K105" s="10" t="inlineStr">
        <is>
          <t>нет</t>
        </is>
      </c>
      <c r="L105" s="10" t="inlineStr">
        <is>
          <t>Этап 5: закрыт — stivestowncouncil.gov.uk: robots.txt отвечает 403</t>
        </is>
      </c>
      <c r="N105" s="10" t="inlineStr">
        <is>
          <t>—</t>
        </is>
      </c>
      <c r="O105" s="10" t="inlineStr">
        <is>
          <t>2026-09-28</t>
        </is>
      </c>
    </row>
    <row r="106">
      <c r="A106" t="inlineStr">
        <is>
          <t>S105</t>
        </is>
      </c>
      <c r="B106" s="10" t="inlineStr">
        <is>
          <t>Расширение географии (этап 5)</t>
        </is>
      </c>
      <c r="C106" s="10" t="inlineStr">
        <is>
          <t>St Neots Town Council</t>
        </is>
      </c>
      <c r="D106" s="10" t="inlineStr">
        <is>
          <t>Городской совет</t>
        </is>
      </c>
      <c r="E106" s="10" t="inlineStr">
        <is>
          <t>https://www.stneots-tc.gov.uk</t>
        </is>
      </c>
      <c r="F106" s="10" t="inlineStr">
        <is>
          <t>St Neots</t>
        </is>
      </c>
      <c r="G106" s="10" t="inlineStr">
        <is>
          <t>Час / Кембриджшир</t>
        </is>
      </c>
      <c r="H106" s="10" t="inlineStr">
        <is>
          <t>HTML</t>
        </is>
      </c>
      <c r="I106" s="10" t="inlineStr">
        <is>
          <t>Ежедневно</t>
        </is>
      </c>
      <c r="J106" s="10" t="n">
        <v>2</v>
      </c>
      <c r="K106" s="10" t="inlineStr">
        <is>
          <t>да</t>
        </is>
      </c>
      <c r="L106" s="10" t="inlineStr">
        <is>
          <t>Этап 5: отложен — WordPress council_events — разбор HTML Этап 6: не нужен — St Neots Town Council: 5–6 событий в год (Bands in the Park, Dragon Boat Race, включение огней), на страницах без дат — ловятся статьями Hunts Post (S116)</t>
        </is>
      </c>
      <c r="M106" s="10" t="inlineStr">
        <is>
          <t>https://www.stneots-tc.gov.uk</t>
        </is>
      </c>
      <c r="N106" s="10" t="inlineStr">
        <is>
          <t>разрешено</t>
        </is>
      </c>
      <c r="O106" s="10" t="inlineStr">
        <is>
          <t>2026-09-28</t>
        </is>
      </c>
    </row>
    <row r="107">
      <c r="A107" s="19" t="inlineStr">
        <is>
          <t>S106</t>
        </is>
      </c>
      <c r="B107" s="10" t="inlineStr">
        <is>
          <t>Расширение географии (этап 5)</t>
        </is>
      </c>
      <c r="C107" s="10" t="inlineStr">
        <is>
          <t>Huntingdon Town Council</t>
        </is>
      </c>
      <c r="D107" s="10" t="inlineStr">
        <is>
          <t>Городской совет</t>
        </is>
      </c>
      <c r="E107" s="10" t="inlineStr">
        <is>
          <t>https://www.huntingdontown.gov.uk/council_events/</t>
        </is>
      </c>
      <c r="F107" s="10" t="inlineStr">
        <is>
          <t>Huntingdon</t>
        </is>
      </c>
      <c r="G107" s="10" t="inlineStr">
        <is>
          <t>Час / Кембриджшир</t>
        </is>
      </c>
      <c r="I107" s="10" t="inlineStr">
        <is>
          <t>Ежедневно</t>
        </is>
      </c>
      <c r="J107" s="10" t="n">
        <v>2</v>
      </c>
      <c r="K107" s="10" t="inlineStr">
        <is>
          <t>нет</t>
        </is>
      </c>
      <c r="L107" s="10" t="inlineStr">
        <is>
          <t>Этап 5: закрыт — robots.txt отвечает 403</t>
        </is>
      </c>
      <c r="N107" s="10" t="inlineStr">
        <is>
          <t>—</t>
        </is>
      </c>
      <c r="O107" s="10" t="inlineStr">
        <is>
          <t>2026-09-28</t>
        </is>
      </c>
    </row>
    <row r="108">
      <c r="A108" s="10" t="inlineStr">
        <is>
          <t>S107</t>
        </is>
      </c>
      <c r="B108" s="10" t="inlineStr">
        <is>
          <t>Расширение географии (этап 5)</t>
        </is>
      </c>
      <c r="C108" s="10" t="inlineStr">
        <is>
          <t>Ramsey Town Council</t>
        </is>
      </c>
      <c r="D108" s="10" t="inlineStr">
        <is>
          <t>Городской совет</t>
        </is>
      </c>
      <c r="E108" s="10" t="inlineStr">
        <is>
          <t>https://www.ramseytowncouncil.gov.uk</t>
        </is>
      </c>
      <c r="F108" s="10" t="inlineStr">
        <is>
          <t>Ramsey</t>
        </is>
      </c>
      <c r="G108" s="10" t="inlineStr">
        <is>
          <t>Час / Кембриджшир</t>
        </is>
      </c>
      <c r="H108" s="10" t="inlineStr">
        <is>
          <t>iCal</t>
        </is>
      </c>
      <c r="I108" s="10" t="inlineStr">
        <is>
          <t>Ежедневно</t>
        </is>
      </c>
      <c r="J108" s="10" t="n">
        <v>2</v>
      </c>
      <c r="K108" s="10" t="inlineStr">
        <is>
          <t>нет событий</t>
        </is>
      </c>
      <c r="L108" s="10" t="inlineStr">
        <is>
          <t>Этап 5: не нужен — iCal совета пуст</t>
        </is>
      </c>
      <c r="M108" s="10" t="inlineStr">
        <is>
          <t>https://www.ramseytowncouncil.gov.uk/feeds/ical/638856?nodeid=3007</t>
        </is>
      </c>
      <c r="N108" s="10" t="inlineStr">
        <is>
          <t>разрешено</t>
        </is>
      </c>
      <c r="O108" s="10" t="inlineStr">
        <is>
          <t>2026-09-28</t>
        </is>
      </c>
    </row>
    <row r="109">
      <c r="A109" s="33" t="inlineStr">
        <is>
          <t>S108</t>
        </is>
      </c>
      <c r="B109" s="10" t="inlineStr">
        <is>
          <t>Расширение географии (этап 5)</t>
        </is>
      </c>
      <c r="C109" s="10" t="inlineStr">
        <is>
          <t>Wisbech Town Council</t>
        </is>
      </c>
      <c r="D109" s="10" t="inlineStr">
        <is>
          <t>Городской совет</t>
        </is>
      </c>
      <c r="E109" s="10" t="inlineStr">
        <is>
          <t>https://www.wisbechtowncouncil.gov.uk</t>
        </is>
      </c>
      <c r="F109" s="10" t="inlineStr">
        <is>
          <t>Wisbech</t>
        </is>
      </c>
      <c r="G109" s="10" t="inlineStr">
        <is>
          <t>Час / Кембриджшир</t>
        </is>
      </c>
      <c r="H109" s="10" t="inlineStr">
        <is>
          <t>iCal</t>
        </is>
      </c>
      <c r="I109" s="10" t="inlineStr">
        <is>
          <t>Ежедневно</t>
        </is>
      </c>
      <c r="J109" s="10" t="n">
        <v>2</v>
      </c>
      <c r="K109" s="10" t="inlineStr">
        <is>
          <t>да</t>
        </is>
      </c>
      <c r="L109" s="10" t="inlineStr">
        <is>
          <t>Этап 5: подключён — iCal совета без заседаний: городские события (иллюминация, ярмарки)</t>
        </is>
      </c>
      <c r="M109" s="10" t="inlineStr">
        <is>
          <t>https://www.wisbechtowncouncil.gov.uk/feeds/ical/638856?nodeid=2929</t>
        </is>
      </c>
      <c r="N109" s="10" t="inlineStr">
        <is>
          <t>разрешено</t>
        </is>
      </c>
      <c r="O109" s="10" t="inlineStr">
        <is>
          <t>2026-09-28</t>
        </is>
      </c>
    </row>
    <row r="110">
      <c r="A110" s="10" t="inlineStr">
        <is>
          <t>S109</t>
        </is>
      </c>
      <c r="B110" s="10" t="inlineStr">
        <is>
          <t>Расширение географии (этап 5)</t>
        </is>
      </c>
      <c r="C110" s="10" t="inlineStr">
        <is>
          <t>March Town Council</t>
        </is>
      </c>
      <c r="D110" s="10" t="inlineStr">
        <is>
          <t>Городской совет</t>
        </is>
      </c>
      <c r="E110" s="10" t="inlineStr">
        <is>
          <t>https://www.marchtowncouncil.gov.uk</t>
        </is>
      </c>
      <c r="F110" s="10" t="inlineStr">
        <is>
          <t>March</t>
        </is>
      </c>
      <c r="G110" s="10" t="inlineStr">
        <is>
          <t>Час / Кембриджшир</t>
        </is>
      </c>
      <c r="H110" s="10" t="inlineStr">
        <is>
          <t>RSS</t>
        </is>
      </c>
      <c r="I110" s="10" t="inlineStr">
        <is>
          <t>Ежедневно</t>
        </is>
      </c>
      <c r="J110" s="10" t="n">
        <v>2</v>
      </c>
      <c r="K110" s="10" t="inlineStr">
        <is>
          <t>да</t>
        </is>
      </c>
      <c r="L110" s="10" t="inlineStr">
        <is>
          <t>Этап 5: не нужен — RSS — новости и заседания</t>
        </is>
      </c>
      <c r="M110" s="10" t="inlineStr">
        <is>
          <t>https://www.marchtowncouncil.gov.uk/feed/</t>
        </is>
      </c>
      <c r="N110" s="10" t="inlineStr">
        <is>
          <t>разрешено</t>
        </is>
      </c>
      <c r="O110" s="10" t="inlineStr">
        <is>
          <t>2026-09-28</t>
        </is>
      </c>
    </row>
    <row r="111">
      <c r="A111" s="10" t="inlineStr">
        <is>
          <t>S110</t>
        </is>
      </c>
      <c r="B111" s="10" t="inlineStr">
        <is>
          <t>Расширение географии (этап 5)</t>
        </is>
      </c>
      <c r="C111" s="10" t="inlineStr">
        <is>
          <t>Chatteris Town Council</t>
        </is>
      </c>
      <c r="D111" s="10" t="inlineStr">
        <is>
          <t>Городской совет</t>
        </is>
      </c>
      <c r="E111" s="10" t="inlineStr">
        <is>
          <t>https://www.chatteristowncouncil.info</t>
        </is>
      </c>
      <c r="F111" s="10" t="inlineStr">
        <is>
          <t>Chatteris</t>
        </is>
      </c>
      <c r="G111" s="10" t="inlineStr">
        <is>
          <t>Час / Кембриджшир</t>
        </is>
      </c>
      <c r="H111" s="10" t="inlineStr">
        <is>
          <t>RSS</t>
        </is>
      </c>
      <c r="I111" s="10" t="inlineStr">
        <is>
          <t>Ежедневно</t>
        </is>
      </c>
      <c r="J111" s="10" t="n">
        <v>2</v>
      </c>
      <c r="K111" s="10" t="inlineStr">
        <is>
          <t>да</t>
        </is>
      </c>
      <c r="L111" s="10" t="inlineStr">
        <is>
          <t>Этап 5: не нужен — RSS — новости и заседания</t>
        </is>
      </c>
      <c r="M111" s="10" t="inlineStr">
        <is>
          <t>https://www.chatteristowncouncil.info/feed/</t>
        </is>
      </c>
      <c r="N111" s="10" t="inlineStr">
        <is>
          <t>разрешено</t>
        </is>
      </c>
      <c r="O111" s="10" t="inlineStr">
        <is>
          <t>2026-09-28</t>
        </is>
      </c>
    </row>
    <row r="112">
      <c r="A112" t="inlineStr">
        <is>
          <t>S111</t>
        </is>
      </c>
      <c r="B112" s="10" t="inlineStr">
        <is>
          <t>Расширение географии (этап 5)</t>
        </is>
      </c>
      <c r="C112" s="10" t="inlineStr">
        <is>
          <t>Whittlesey Town Council</t>
        </is>
      </c>
      <c r="D112" s="10" t="inlineStr">
        <is>
          <t>Городской совет</t>
        </is>
      </c>
      <c r="E112" s="10" t="inlineStr">
        <is>
          <t>https://www.whittleseytowncouncil.gov.uk/whittlesey-guide-events/</t>
        </is>
      </c>
      <c r="F112" s="10" t="inlineStr">
        <is>
          <t>Whittlesey</t>
        </is>
      </c>
      <c r="G112" s="10" t="inlineStr">
        <is>
          <t>Час / Кембриджшир</t>
        </is>
      </c>
      <c r="H112" s="10" t="inlineStr">
        <is>
          <t>RSS</t>
        </is>
      </c>
      <c r="I112" s="10" t="inlineStr">
        <is>
          <t>Ежедневно</t>
        </is>
      </c>
      <c r="J112" s="10" t="n">
        <v>2</v>
      </c>
      <c r="K112" s="10" t="inlineStr">
        <is>
          <t>да</t>
        </is>
      </c>
      <c r="L112" s="10" t="inlineStr">
        <is>
          <t>Этап 5: отложен — WordPress, раздел событий — разбор HTML Этап 6: не нужен — Whittlesey Town Council: страницы событий без дат; Straw Bear — в recurring (R01), остальное — статьи Cambs Times (S117)</t>
        </is>
      </c>
      <c r="M112" s="10" t="inlineStr">
        <is>
          <t>https://www.whittleseytowncouncil.gov.uk/feed/</t>
        </is>
      </c>
      <c r="N112" s="10" t="inlineStr">
        <is>
          <t>разрешено</t>
        </is>
      </c>
      <c r="O112" s="10" t="inlineStr">
        <is>
          <t>2026-09-28</t>
        </is>
      </c>
    </row>
    <row r="113">
      <c r="A113" s="19" t="inlineStr">
        <is>
          <t>S112</t>
        </is>
      </c>
      <c r="B113" s="10" t="inlineStr">
        <is>
          <t>Расширение географии (этап 5)</t>
        </is>
      </c>
      <c r="C113" s="10" t="inlineStr">
        <is>
          <t>Soham Town Council</t>
        </is>
      </c>
      <c r="D113" s="10" t="inlineStr">
        <is>
          <t>Городской совет</t>
        </is>
      </c>
      <c r="E113" s="10" t="inlineStr">
        <is>
          <t>https://www.soham-tc.gov.uk/council_events/</t>
        </is>
      </c>
      <c r="F113" s="10" t="inlineStr">
        <is>
          <t>Soham</t>
        </is>
      </c>
      <c r="G113" s="10" t="inlineStr">
        <is>
          <t>Час / Кембриджшир</t>
        </is>
      </c>
      <c r="I113" s="10" t="inlineStr">
        <is>
          <t>Ежедневно</t>
        </is>
      </c>
      <c r="J113" s="10" t="n">
        <v>2</v>
      </c>
      <c r="K113" s="10" t="inlineStr">
        <is>
          <t>нет</t>
        </is>
      </c>
      <c r="L113" s="10" t="inlineStr">
        <is>
          <t>Этап 5: закрыт — soham-tc.gov.uk: robots.txt отвечает 403</t>
        </is>
      </c>
      <c r="N113" s="10" t="inlineStr">
        <is>
          <t>—</t>
        </is>
      </c>
      <c r="O113" s="10" t="inlineStr">
        <is>
          <t>2026-09-28</t>
        </is>
      </c>
    </row>
    <row r="114">
      <c r="A114" s="33" t="inlineStr">
        <is>
          <t>S113</t>
        </is>
      </c>
      <c r="B114" s="10" t="inlineStr">
        <is>
          <t>Расширение географии (этап 5)</t>
        </is>
      </c>
      <c r="C114" s="10" t="inlineStr">
        <is>
          <t>Visit Ely</t>
        </is>
      </c>
      <c r="D114" s="10" t="inlineStr">
        <is>
          <t>Туризм</t>
        </is>
      </c>
      <c r="E114" s="10" t="inlineStr">
        <is>
          <t>https://www.visitely.org.uk</t>
        </is>
      </c>
      <c r="F114" s="10" t="inlineStr">
        <is>
          <t>Ely</t>
        </is>
      </c>
      <c r="G114" s="10" t="inlineStr">
        <is>
          <t>Час / Кембриджшир</t>
        </is>
      </c>
      <c r="H114" s="10" t="inlineStr">
        <is>
          <t>RSS</t>
        </is>
      </c>
      <c r="I114" s="10" t="inlineStr">
        <is>
          <t>Ежедневно</t>
        </is>
      </c>
      <c r="J114" s="10" t="n">
        <v>2</v>
      </c>
      <c r="K114" s="10" t="inlineStr">
        <is>
          <t>да</t>
        </is>
      </c>
      <c r="L114" s="10" t="inlineStr">
        <is>
          <t>Этап 5: отложен — WordPress (API закрыт, 401); события — разбор HTML Этап 6: подключён — Visit Ely: /whats-on/ (JetEngine), дата начала и конца в карточке; площадка не указана — зона по городу Эли</t>
        </is>
      </c>
      <c r="M114" s="10" t="inlineStr">
        <is>
          <t>https://www.visitely.org.uk/feed/</t>
        </is>
      </c>
      <c r="N114" s="10" t="inlineStr">
        <is>
          <t>разрешено</t>
        </is>
      </c>
      <c r="O114" s="10" t="inlineStr">
        <is>
          <t>2026-09-28</t>
        </is>
      </c>
    </row>
    <row r="115">
      <c r="A115" s="19" t="inlineStr">
        <is>
          <t>S114</t>
        </is>
      </c>
      <c r="B115" s="10" t="inlineStr">
        <is>
          <t>Расширение географии (этап 5)</t>
        </is>
      </c>
      <c r="C115" s="10" t="inlineStr">
        <is>
          <t>Visit Peterborough</t>
        </is>
      </c>
      <c r="D115" s="10" t="inlineStr">
        <is>
          <t>Туризм</t>
        </is>
      </c>
      <c r="E115" s="10" t="inlineStr">
        <is>
          <t>https://www.visitpeterborough.com</t>
        </is>
      </c>
      <c r="F115" s="10" t="inlineStr">
        <is>
          <t>Питерборо</t>
        </is>
      </c>
      <c r="G115" s="10" t="inlineStr">
        <is>
          <t>Час / Кембриджшир</t>
        </is>
      </c>
      <c r="I115" s="10" t="inlineStr">
        <is>
          <t>Ежедневно</t>
        </is>
      </c>
      <c r="J115" s="10" t="n">
        <v>2</v>
      </c>
      <c r="K115" s="10" t="inlineStr">
        <is>
          <t>нет</t>
        </is>
      </c>
      <c r="L115" s="10" t="inlineStr">
        <is>
          <t>Этап 5: закрыт — robots.txt отвечает 403</t>
        </is>
      </c>
      <c r="N115" s="10" t="inlineStr">
        <is>
          <t>—</t>
        </is>
      </c>
      <c r="O115" s="10" t="inlineStr">
        <is>
          <t>2026-09-28</t>
        </is>
      </c>
    </row>
    <row r="116">
      <c r="A116" s="32" t="inlineStr">
        <is>
          <t>S115</t>
        </is>
      </c>
      <c r="B116" s="10" t="inlineStr">
        <is>
          <t>Расширение географии (этап 5)</t>
        </is>
      </c>
      <c r="C116" s="10" t="inlineStr">
        <is>
          <t>Visit Huntingdonshire</t>
        </is>
      </c>
      <c r="D116" s="10" t="inlineStr">
        <is>
          <t>Туризм</t>
        </is>
      </c>
      <c r="E116" s="10" t="inlineStr">
        <is>
          <t>https://www.discoverhuntingdonshire.co.uk</t>
        </is>
      </c>
      <c r="F116" s="10" t="inlineStr">
        <is>
          <t>Huntingdonshire</t>
        </is>
      </c>
      <c r="G116" s="10" t="inlineStr">
        <is>
          <t>Час / Кембриджшир</t>
        </is>
      </c>
      <c r="H116" s="10" t="inlineStr">
        <is>
          <t>HTML</t>
        </is>
      </c>
      <c r="I116" s="10" t="inlineStr">
        <is>
          <t>Ежедневно</t>
        </is>
      </c>
      <c r="J116" s="10" t="n">
        <v>2</v>
      </c>
      <c r="K116" s="10" t="inlineStr">
        <is>
          <t>да</t>
        </is>
      </c>
      <c r="L116" s="10" t="inlineStr">
        <is>
          <t>Этап 5: отложен — cPortals, календарь HTML Этап 6: отложен — Discover Huntingdonshire: афиша загружается скриптом, в HTML дат нет — этап 6b (поиск)</t>
        </is>
      </c>
      <c r="M116" s="10" t="inlineStr">
        <is>
          <t>https://www.discoverhuntingdonshire.co.uk</t>
        </is>
      </c>
      <c r="N116" s="10" t="inlineStr">
        <is>
          <t>разрешено</t>
        </is>
      </c>
      <c r="O116" s="10" t="inlineStr">
        <is>
          <t>2026-09-28</t>
        </is>
      </c>
    </row>
    <row r="117">
      <c r="A117" s="32" t="inlineStr">
        <is>
          <t>S116</t>
        </is>
      </c>
      <c r="B117" s="10" t="inlineStr">
        <is>
          <t>Расширение географии (этап 5)</t>
        </is>
      </c>
      <c r="C117" s="10" t="inlineStr">
        <is>
          <t>Hunts Post</t>
        </is>
      </c>
      <c r="D117" s="10" t="inlineStr">
        <is>
          <t>СМИ</t>
        </is>
      </c>
      <c r="E117" s="10" t="inlineStr">
        <is>
          <t>https://www.huntspost.co.uk</t>
        </is>
      </c>
      <c r="F117" s="10" t="inlineStr">
        <is>
          <t>Huntingdonshire</t>
        </is>
      </c>
      <c r="G117" s="10" t="inlineStr">
        <is>
          <t>Час / Кембриджшир</t>
        </is>
      </c>
      <c r="H117" s="10" t="inlineStr">
        <is>
          <t>RSS</t>
        </is>
      </c>
      <c r="I117" s="10" t="inlineStr">
        <is>
          <t>Ежедневно</t>
        </is>
      </c>
      <c r="J117" s="10" t="n">
        <v>2</v>
      </c>
      <c r="K117" s="10" t="inlineStr">
        <is>
          <t>да</t>
        </is>
      </c>
      <c r="L117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7" s="10" t="inlineStr">
        <is>
          <t>http://www.huntspost.co.uk/things-to-do/rss/</t>
        </is>
      </c>
      <c r="N117" s="10" t="inlineStr">
        <is>
          <t>разрешено</t>
        </is>
      </c>
      <c r="O117" s="10" t="inlineStr">
        <is>
          <t>2026-09-28</t>
        </is>
      </c>
    </row>
    <row r="118">
      <c r="A118" s="32" t="inlineStr">
        <is>
          <t>S117</t>
        </is>
      </c>
      <c r="B118" s="10" t="inlineStr">
        <is>
          <t>Расширение географии (этап 5)</t>
        </is>
      </c>
      <c r="C118" s="10" t="inlineStr">
        <is>
          <t>Cambs Times</t>
        </is>
      </c>
      <c r="D118" s="10" t="inlineStr">
        <is>
          <t>СМИ</t>
        </is>
      </c>
      <c r="E118" s="10" t="inlineStr">
        <is>
          <t>https://www.cambstimes.co.uk</t>
        </is>
      </c>
      <c r="F118" s="10" t="inlineStr">
        <is>
          <t>Fenland: March, Whittlesey, Chatteris</t>
        </is>
      </c>
      <c r="G118" s="10" t="inlineStr">
        <is>
          <t>Час / Кембриджшир</t>
        </is>
      </c>
      <c r="H118" s="10" t="inlineStr">
        <is>
          <t>HTML</t>
        </is>
      </c>
      <c r="I118" s="10" t="inlineStr">
        <is>
          <t>Ежедневно</t>
        </is>
      </c>
      <c r="J118" s="10" t="n">
        <v>2</v>
      </c>
      <c r="K118" s="10" t="inlineStr">
        <is>
          <t>да</t>
        </is>
      </c>
      <c r="L118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8" s="10" t="inlineStr">
        <is>
          <t>https://www.cambstimes.co.uk</t>
        </is>
      </c>
      <c r="N118" s="10" t="inlineStr">
        <is>
          <t>разрешено</t>
        </is>
      </c>
      <c r="O118" s="10" t="inlineStr">
        <is>
          <t>2026-09-28</t>
        </is>
      </c>
    </row>
    <row r="119">
      <c r="A119" s="32" t="inlineStr">
        <is>
          <t>S118</t>
        </is>
      </c>
      <c r="B119" s="10" t="inlineStr">
        <is>
          <t>Расширение географии (этап 5)</t>
        </is>
      </c>
      <c r="C119" s="10" t="inlineStr">
        <is>
          <t>Wisbech Standard</t>
        </is>
      </c>
      <c r="D119" s="10" t="inlineStr">
        <is>
          <t>СМИ</t>
        </is>
      </c>
      <c r="E119" s="10" t="inlineStr">
        <is>
          <t>https://www.wisbechstandard.co.uk</t>
        </is>
      </c>
      <c r="F119" s="10" t="inlineStr">
        <is>
          <t>Wisbech</t>
        </is>
      </c>
      <c r="G119" s="10" t="inlineStr">
        <is>
          <t>Час / Кембриджшир</t>
        </is>
      </c>
      <c r="H119" s="10" t="inlineStr">
        <is>
          <t>HTML</t>
        </is>
      </c>
      <c r="I119" s="10" t="inlineStr">
        <is>
          <t>Ежедневно</t>
        </is>
      </c>
      <c r="J119" s="10" t="n">
        <v>2</v>
      </c>
      <c r="K119" s="10" t="inlineStr">
        <is>
          <t>да</t>
        </is>
      </c>
      <c r="L119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9" s="10" t="inlineStr">
        <is>
          <t>https://www.wisbechstandard.co.uk</t>
        </is>
      </c>
      <c r="N119" s="10" t="inlineStr">
        <is>
          <t>разрешено</t>
        </is>
      </c>
      <c r="O119" s="10" t="inlineStr">
        <is>
          <t>2026-09-28</t>
        </is>
      </c>
    </row>
    <row r="120">
      <c r="A120" s="32" t="inlineStr">
        <is>
          <t>S119</t>
        </is>
      </c>
      <c r="B120" s="10" t="inlineStr">
        <is>
          <t>Расширение географии (этап 5)</t>
        </is>
      </c>
      <c r="C120" s="10" t="inlineStr">
        <is>
          <t>Ely Standard</t>
        </is>
      </c>
      <c r="D120" s="10" t="inlineStr">
        <is>
          <t>СМИ</t>
        </is>
      </c>
      <c r="E120" s="10" t="inlineStr">
        <is>
          <t>https://www.elystandard.co.uk</t>
        </is>
      </c>
      <c r="F120" s="10" t="inlineStr">
        <is>
          <t>Ely</t>
        </is>
      </c>
      <c r="G120" s="10" t="inlineStr">
        <is>
          <t>Час / Кембриджшир</t>
        </is>
      </c>
      <c r="H120" s="10" t="inlineStr">
        <is>
          <t>HTML</t>
        </is>
      </c>
      <c r="I120" s="10" t="inlineStr">
        <is>
          <t>Ежедневно</t>
        </is>
      </c>
      <c r="J120" s="10" t="n">
        <v>2</v>
      </c>
      <c r="K120" s="10" t="inlineStr">
        <is>
          <t>да</t>
        </is>
      </c>
      <c r="L120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20" s="10" t="inlineStr">
        <is>
          <t>https://www.elystandard.co.uk</t>
        </is>
      </c>
      <c r="N120" s="10" t="inlineStr">
        <is>
          <t>разрешено</t>
        </is>
      </c>
      <c r="O120" s="10" t="inlineStr">
        <is>
          <t>2026-09-28</t>
        </is>
      </c>
    </row>
    <row r="121">
      <c r="A121" s="10" t="inlineStr">
        <is>
          <t>S120</t>
        </is>
      </c>
      <c r="B121" s="10" t="inlineStr">
        <is>
          <t>Расширение географии (этап 5)</t>
        </is>
      </c>
      <c r="C121" s="10" t="inlineStr">
        <is>
          <t>Peterborough Cathedral</t>
        </is>
      </c>
      <c r="D121" s="10" t="inlineStr">
        <is>
          <t>Площадка</t>
        </is>
      </c>
      <c r="E121" s="10" t="inlineStr">
        <is>
          <t>https://peterborough-cathedral.org.uk</t>
        </is>
      </c>
      <c r="F121" s="10" t="inlineStr">
        <is>
          <t>Питерборо</t>
        </is>
      </c>
      <c r="G121" s="10" t="inlineStr">
        <is>
          <t>Час / Кембриджшир</t>
        </is>
      </c>
      <c r="I121" s="10" t="inlineStr">
        <is>
          <t>Ежедневно</t>
        </is>
      </c>
      <c r="J121" s="10" t="n">
        <v>2</v>
      </c>
      <c r="K121" s="10" t="inlineStr">
        <is>
          <t>нет</t>
        </is>
      </c>
      <c r="L121" s="10" t="inlineStr">
        <is>
          <t>Этап 5: не нужен — HTTP 202 (бот-защита); концерты собора есть на Ents24/Skiddle (S128/S129)</t>
        </is>
      </c>
      <c r="N121" s="10" t="inlineStr">
        <is>
          <t>—</t>
        </is>
      </c>
      <c r="O121" s="10" t="inlineStr">
        <is>
          <t>2026-09-28</t>
        </is>
      </c>
    </row>
    <row r="122">
      <c r="A122" s="10" t="inlineStr">
        <is>
          <t>S121</t>
        </is>
      </c>
      <c r="B122" s="10" t="inlineStr">
        <is>
          <t>Расширение географии (этап 5)</t>
        </is>
      </c>
      <c r="C122" s="10" t="inlineStr">
        <is>
          <t>Key Theatre (Peterborough)</t>
        </is>
      </c>
      <c r="D122" s="10" t="inlineStr">
        <is>
          <t>Площадка</t>
        </is>
      </c>
      <c r="E122" s="10" t="inlineStr">
        <is>
          <t>https://keytheatre-peterborough.com</t>
        </is>
      </c>
      <c r="F122" s="10" t="inlineStr">
        <is>
          <t>Питерборо</t>
        </is>
      </c>
      <c r="G122" s="10" t="inlineStr">
        <is>
          <t>Час / Кембриджшир</t>
        </is>
      </c>
      <c r="H122" s="10" t="inlineStr">
        <is>
          <t>HTML</t>
        </is>
      </c>
      <c r="I122" s="10" t="inlineStr">
        <is>
          <t>Ежедневно</t>
        </is>
      </c>
      <c r="J122" s="10" t="n">
        <v>2</v>
      </c>
      <c r="K122" s="10" t="inlineStr">
        <is>
          <t>да</t>
        </is>
      </c>
      <c r="L122" s="10" t="inlineStr">
        <is>
          <t>Этап 5: не нужен — покрыт Ents24/Skiddle по городу (S128/S129)</t>
        </is>
      </c>
      <c r="M122" s="10" t="inlineStr">
        <is>
          <t>https://keytheatre-peterborough.com</t>
        </is>
      </c>
      <c r="N122" s="10" t="inlineStr">
        <is>
          <t>разрешено</t>
        </is>
      </c>
      <c r="O122" s="10" t="inlineStr">
        <is>
          <t>2026-09-28</t>
        </is>
      </c>
    </row>
    <row r="123">
      <c r="A123" s="10" t="inlineStr">
        <is>
          <t>S122</t>
        </is>
      </c>
      <c r="B123" s="10" t="inlineStr">
        <is>
          <t>Расширение географии (этап 5)</t>
        </is>
      </c>
      <c r="C123" s="10" t="inlineStr">
        <is>
          <t>New Theatre Peterborough</t>
        </is>
      </c>
      <c r="D123" s="10" t="inlineStr">
        <is>
          <t>Площадка</t>
        </is>
      </c>
      <c r="E123" s="10" t="inlineStr">
        <is>
          <t>https://www.newtheatre-peterborough.com</t>
        </is>
      </c>
      <c r="F123" s="10" t="inlineStr">
        <is>
          <t>Питерборо</t>
        </is>
      </c>
      <c r="G123" s="10" t="inlineStr">
        <is>
          <t>Час / Кембриджшир</t>
        </is>
      </c>
      <c r="H123" s="10" t="inlineStr">
        <is>
          <t>HTML</t>
        </is>
      </c>
      <c r="I123" s="10" t="inlineStr">
        <is>
          <t>Ежедневно</t>
        </is>
      </c>
      <c r="J123" s="10" t="n">
        <v>2</v>
      </c>
      <c r="K123" s="10" t="inlineStr">
        <is>
          <t>да</t>
        </is>
      </c>
      <c r="L123" s="10" t="inlineStr">
        <is>
          <t>Этап 5: не нужен — покрыт Ents24 по городу (S128)</t>
        </is>
      </c>
      <c r="M123" s="10" t="inlineStr">
        <is>
          <t>https://newtheatre-peterborough.com/</t>
        </is>
      </c>
      <c r="N123" s="10" t="inlineStr">
        <is>
          <t>разрешено</t>
        </is>
      </c>
      <c r="O123" s="10" t="inlineStr">
        <is>
          <t>2026-09-28</t>
        </is>
      </c>
    </row>
    <row r="124">
      <c r="A124" s="33" t="inlineStr">
        <is>
          <t>S123</t>
        </is>
      </c>
      <c r="B124" s="10" t="inlineStr">
        <is>
          <t>Расширение географии (этап 5)</t>
        </is>
      </c>
      <c r="C124" s="10" t="inlineStr">
        <is>
          <t>Peterborough United — домашние матчи</t>
        </is>
      </c>
      <c r="D124" s="10" t="inlineStr">
        <is>
          <t>Клуб</t>
        </is>
      </c>
      <c r="E124" s="10" t="inlineStr">
        <is>
          <t>https://www.theposh.com</t>
        </is>
      </c>
      <c r="F124" s="10" t="inlineStr">
        <is>
          <t>Питерборо</t>
        </is>
      </c>
      <c r="G124" s="10" t="inlineStr">
        <is>
          <t>Час / Кембриджшир</t>
        </is>
      </c>
      <c r="H124" s="10" t="inlineStr">
        <is>
          <t>iCal</t>
        </is>
      </c>
      <c r="I124" s="10" t="inlineStr">
        <is>
          <t>Ежедневно</t>
        </is>
      </c>
      <c r="J124" s="10" t="n">
        <v>2</v>
      </c>
      <c r="K124" s="10" t="inlineStr">
        <is>
          <t>да</t>
        </is>
      </c>
      <c r="L124" s="10" t="inlineStr">
        <is>
          <t>Этап 5: подключён — iCal fixtur.es, домашние матчи</t>
        </is>
      </c>
      <c r="M124" s="10" t="inlineStr">
        <is>
          <t>https://outlook.live.com/owa/?rru=addsubscription&amp;name=Peterborough+United+FC&amp;url=webcal://ics.fixtur.es/v2/home/peterborough-united-fc.ics</t>
        </is>
      </c>
      <c r="N124" s="10" t="inlineStr">
        <is>
          <t>разрешено</t>
        </is>
      </c>
      <c r="O124" s="10" t="inlineStr">
        <is>
          <t>2026-09-28</t>
        </is>
      </c>
    </row>
    <row r="125">
      <c r="A125" s="10" t="inlineStr">
        <is>
          <t>S124</t>
        </is>
      </c>
      <c r="B125" s="10" t="inlineStr">
        <is>
          <t>Расширение географии (этап 5)</t>
        </is>
      </c>
      <c r="C125" s="10" t="inlineStr">
        <is>
          <t>Royston — Town Council / события</t>
        </is>
      </c>
      <c r="D125" s="10" t="inlineStr">
        <is>
          <t>Городской совет</t>
        </is>
      </c>
      <c r="E125" s="10" t="inlineStr">
        <is>
          <t>https://www.roystontown.uk</t>
        </is>
      </c>
      <c r="F125" s="10" t="inlineStr">
        <is>
          <t>Royston (Herts)</t>
        </is>
      </c>
      <c r="G125" s="10" t="inlineStr">
        <is>
          <t>Час / Кембриджшир</t>
        </is>
      </c>
      <c r="H125" s="10" t="inlineStr">
        <is>
          <t>RSS</t>
        </is>
      </c>
      <c r="I125" s="10" t="inlineStr">
        <is>
          <t>Ежедневно</t>
        </is>
      </c>
      <c r="J125" s="10" t="n">
        <v>2</v>
      </c>
      <c r="K125" s="10" t="inlineStr">
        <is>
          <t>да</t>
        </is>
      </c>
      <c r="L125" s="10" t="inlineStr">
        <is>
          <t>Этап 5: не нужен — Royston — через Skiddle/Ents24 по городу (S128/S129)</t>
        </is>
      </c>
      <c r="M125" s="10" t="inlineStr">
        <is>
          <t>https://www.roystontown.uk/feed/</t>
        </is>
      </c>
      <c r="N125" s="10" t="inlineStr">
        <is>
          <t>разрешено</t>
        </is>
      </c>
      <c r="O125" s="10" t="inlineStr">
        <is>
          <t>2026-09-28</t>
        </is>
      </c>
    </row>
    <row r="126">
      <c r="A126" s="10" t="inlineStr">
        <is>
          <t>S125</t>
        </is>
      </c>
      <c r="B126" s="10" t="inlineStr">
        <is>
          <t>Расширение географии (этап 5)</t>
        </is>
      </c>
      <c r="C126" s="10" t="inlineStr">
        <is>
          <t>Haverhill — Arts Centre / Town Council</t>
        </is>
      </c>
      <c r="D126" s="10" t="inlineStr">
        <is>
          <t>Площадка</t>
        </is>
      </c>
      <c r="E126" s="10" t="inlineStr">
        <is>
          <t>https://www.haverhillartscentre.co.uk</t>
        </is>
      </c>
      <c r="F126" s="10" t="inlineStr">
        <is>
          <t>Haverhill (Suffolk)</t>
        </is>
      </c>
      <c r="G126" s="10" t="inlineStr">
        <is>
          <t>Час / Кембриджшир</t>
        </is>
      </c>
      <c r="H126" s="10" t="inlineStr">
        <is>
          <t>RSS</t>
        </is>
      </c>
      <c r="I126" s="10" t="inlineStr">
        <is>
          <t>Ежедневно</t>
        </is>
      </c>
      <c r="J126" s="10" t="n">
        <v>2</v>
      </c>
      <c r="K126" s="10" t="inlineStr">
        <is>
          <t>да</t>
        </is>
      </c>
      <c r="L126" s="10" t="inlineStr">
        <is>
          <t>Этап 5: не нужен — Haverhill Arts Centre — через Ents24 по городу (S128)</t>
        </is>
      </c>
      <c r="M126" s="10" t="inlineStr">
        <is>
          <t>https://haverhillartscentre.co.uk/haverhill-arts-centre-homepage/feed/</t>
        </is>
      </c>
      <c r="N126" s="10" t="inlineStr">
        <is>
          <t>разрешено</t>
        </is>
      </c>
      <c r="O126" s="10" t="inlineStr">
        <is>
          <t>2026-09-28</t>
        </is>
      </c>
    </row>
    <row r="127">
      <c r="A127" s="34" t="inlineStr">
        <is>
          <t>S126</t>
        </is>
      </c>
      <c r="B127" s="10" t="inlineStr">
        <is>
          <t>Расширение географии (этап 5)</t>
        </is>
      </c>
      <c r="C127" s="10" t="inlineStr">
        <is>
          <t>Bury St Edmunds — Apex / Theatre Royal / Visit Bury</t>
        </is>
      </c>
      <c r="D127" s="10" t="inlineStr">
        <is>
          <t>Площадка</t>
        </is>
      </c>
      <c r="E127" s="10" t="inlineStr">
        <is>
          <t>https://www.theapex.co.uk</t>
        </is>
      </c>
      <c r="F127" s="10" t="inlineStr">
        <is>
          <t>Бери-Сент-Эдмундс (Suffolk)</t>
        </is>
      </c>
      <c r="G127" s="10" t="inlineStr">
        <is>
          <t>Час / Кембриджшир</t>
        </is>
      </c>
      <c r="H127" s="10" t="inlineStr">
        <is>
          <t>RSS</t>
        </is>
      </c>
      <c r="I127" s="10" t="inlineStr">
        <is>
          <t>Ежедневно</t>
        </is>
      </c>
      <c r="J127" s="10" t="n">
        <v>2</v>
      </c>
      <c r="K127" s="10" t="inlineStr">
        <is>
          <t>да</t>
        </is>
      </c>
      <c r="L127" s="10" t="inlineStr">
        <is>
          <t>Этап 5: не нужен — Apex и Theatre Royal — через Ents24 по городу (S128) Этап 6: подключён — Theatre Royal Bury St Edmunds: список — REST WordPress /wp-json/wp/v2/events (~33), дата и цена — со страниц спектаклей; RSS /feed/ — новости театра, не афиша</t>
        </is>
      </c>
      <c r="M127" s="10" t="inlineStr">
        <is>
          <t>https://theatreroyal.org/feed/</t>
        </is>
      </c>
      <c r="N127" s="10" t="inlineStr">
        <is>
          <t>разрешено</t>
        </is>
      </c>
      <c r="O127" s="10" t="inlineStr">
        <is>
          <t>2026-09-28</t>
        </is>
      </c>
    </row>
    <row r="128">
      <c r="A128" s="19" t="inlineStr">
        <is>
          <t>S127</t>
        </is>
      </c>
      <c r="B128" s="10" t="inlineStr">
        <is>
          <t>Расширение географии (этап 5)</t>
        </is>
      </c>
      <c r="C128" s="10" t="inlineStr">
        <is>
          <t>Saffron Walden / Newmarket — Town Councils</t>
        </is>
      </c>
      <c r="D128" s="10" t="inlineStr">
        <is>
          <t>Городской совет</t>
        </is>
      </c>
      <c r="E128" s="10" t="inlineStr">
        <is>
          <t>https://www.saffronwalden.gov.uk</t>
        </is>
      </c>
      <c r="F128" s="10" t="inlineStr">
        <is>
          <t>Saffron Walden, Newmarket</t>
        </is>
      </c>
      <c r="G128" s="10" t="inlineStr">
        <is>
          <t>Час / Кембриджшир</t>
        </is>
      </c>
      <c r="H128" s="10" t="inlineStr">
        <is>
          <t>iCal</t>
        </is>
      </c>
      <c r="I128" s="10" t="inlineStr">
        <is>
          <t>Ежедневно</t>
        </is>
      </c>
      <c r="J128" s="10" t="n">
        <v>2</v>
      </c>
      <c r="K128" s="10" t="inlineStr">
        <is>
          <t>да</t>
        </is>
      </c>
      <c r="L128" s="10" t="inlineStr">
        <is>
          <t>Этап 5: закрыт — saffronwalden.gov.uk — 403; newmarket.gov.uk — robots.txt недоступен</t>
        </is>
      </c>
      <c r="M128" s="10" t="inlineStr">
        <is>
          <t>https://www.newmarket.gov.uk/events/?ical=1</t>
        </is>
      </c>
      <c r="N128" s="10" t="inlineStr">
        <is>
          <t>разрешено</t>
        </is>
      </c>
      <c r="O128" s="10" t="inlineStr">
        <is>
          <t>2026-09-28</t>
        </is>
      </c>
    </row>
    <row r="129">
      <c r="A129" s="33" t="inlineStr">
        <is>
          <t>S128</t>
        </is>
      </c>
      <c r="B129" s="10" t="inlineStr">
        <is>
          <t>Расширение географии (этап 5)</t>
        </is>
      </c>
      <c r="C129" s="10" t="inlineStr">
        <is>
          <t>Ents24 — города зоны</t>
        </is>
      </c>
      <c r="D129" s="10" t="inlineStr">
        <is>
          <t>Агрегатор</t>
        </is>
      </c>
      <c r="E129" s="10" t="inlineStr">
        <is>
          <t>https://www.ents24.com/whatson/peterborough</t>
        </is>
      </c>
      <c r="F129" s="10" t="inlineStr">
        <is>
          <t>Питерборо, Ely, Huntingdon, St Neots, St Ives, Wisbech, March, Бери, Saffron Walden, Ньюмаркет, Royston, Haverhill</t>
        </is>
      </c>
      <c r="G129" s="10" t="inlineStr">
        <is>
          <t>Час / Кембриджшир</t>
        </is>
      </c>
      <c r="H129" s="10" t="inlineStr">
        <is>
          <t>JSON-LD</t>
        </is>
      </c>
      <c r="I129" s="10" t="inlineStr">
        <is>
          <t>Ежедневно</t>
        </is>
      </c>
      <c r="J129" s="10" t="n">
        <v>2</v>
      </c>
      <c r="K129" s="10" t="inlineStr">
        <is>
          <t>да</t>
        </is>
      </c>
      <c r="L129" s="10" t="inlineStr">
        <is>
          <t>Этап 5: подключён — Ents24: 12 страниц городов зоны (расширение S006)</t>
        </is>
      </c>
      <c r="M129" s="10" t="inlineStr">
        <is>
          <t>https://www.ents24.com/whatson/peterborough</t>
        </is>
      </c>
      <c r="N129" s="10" t="inlineStr">
        <is>
          <t>разрешено</t>
        </is>
      </c>
      <c r="O129" s="10" t="inlineStr">
        <is>
          <t>2026-09-28</t>
        </is>
      </c>
    </row>
    <row r="130">
      <c r="A130" s="33" t="inlineStr">
        <is>
          <t>S129</t>
        </is>
      </c>
      <c r="B130" s="10" t="inlineStr">
        <is>
          <t>Расширение географии (этап 5)</t>
        </is>
      </c>
      <c r="C130" s="10" t="inlineStr">
        <is>
          <t>Skiddle — города зоны</t>
        </is>
      </c>
      <c r="D130" s="10" t="inlineStr">
        <is>
          <t>Агрегатор</t>
        </is>
      </c>
      <c r="E130" s="10" t="inlineStr">
        <is>
          <t>https://www.skiddle.com/whats-on/Peterborough/</t>
        </is>
      </c>
      <c r="F130" s="10" t="inlineStr">
        <is>
          <t>те же 12 городов</t>
        </is>
      </c>
      <c r="G130" s="10" t="inlineStr">
        <is>
          <t>Час / Кембриджшир</t>
        </is>
      </c>
      <c r="H130" s="10" t="inlineStr">
        <is>
          <t>JSON-LD</t>
        </is>
      </c>
      <c r="I130" s="10" t="inlineStr">
        <is>
          <t>Ежедневно</t>
        </is>
      </c>
      <c r="J130" s="10" t="n">
        <v>2</v>
      </c>
      <c r="K130" s="10" t="inlineStr">
        <is>
          <t>да</t>
        </is>
      </c>
      <c r="L130" s="10" t="inlineStr">
        <is>
          <t>Этап 5: подключён — Skiddle: 12 страниц городов зоны (расширение S007)</t>
        </is>
      </c>
      <c r="M130" s="10" t="inlineStr">
        <is>
          <t>https://www.skiddle.com/whats-on/Peterborough/</t>
        </is>
      </c>
      <c r="N130" s="10" t="inlineStr">
        <is>
          <t>разрешено</t>
        </is>
      </c>
      <c r="O130" s="10" t="inlineStr">
        <is>
          <t>2026-09-28</t>
        </is>
      </c>
    </row>
    <row r="131">
      <c r="A131" s="33" t="inlineStr">
        <is>
          <t>S131</t>
        </is>
      </c>
      <c r="B131" t="inlineStr">
        <is>
          <t>Семейные источники</t>
        </is>
      </c>
      <c r="C131" t="inlineStr">
        <is>
          <t>Cambridge Past, Present &amp; Future (Wandlebury, Leper Chapel, Hinxton Watermill…)</t>
        </is>
      </c>
      <c r="D131" t="inlineStr">
        <is>
          <t>Организатор</t>
        </is>
      </c>
      <c r="E131" t="inlineStr">
        <is>
          <t>https://cambridgeppf.org/events-list/</t>
        </is>
      </c>
      <c r="F131" t="inlineStr"/>
      <c r="G131" t="inlineStr">
        <is>
          <t>До 30 мин</t>
        </is>
      </c>
      <c r="H131" t="inlineStr"/>
      <c r="I131" t="inlineStr">
        <is>
          <t>Ежедневно</t>
        </is>
      </c>
      <c r="J131" t="n">
        <v>2</v>
      </c>
      <c r="K131" t="inlineStr">
        <is>
          <t>да</t>
        </is>
      </c>
      <c r="L131" t="inlineStr">
        <is>
          <t>Этап 6: подключён — Cambridge Past, Present &amp; Future: Wandlebury, Leper Chapel, Hinxton Watermill, Coton, Bourn Windmill, Grantchester — список /events-list/ (Eventin), один запрос</t>
        </is>
      </c>
      <c r="O131" t="inlineStr">
        <is>
          <t>2026-09-28</t>
        </is>
      </c>
    </row>
    <row r="132">
      <c r="A132" s="33" t="inlineStr">
        <is>
          <t>S130</t>
        </is>
      </c>
      <c r="B132" t="inlineStr">
        <is>
          <t>Семейные источники</t>
        </is>
      </c>
      <c r="C132" t="inlineStr">
        <is>
          <t>Museum of Cambridge</t>
        </is>
      </c>
      <c r="D132" t="inlineStr">
        <is>
          <t>Музей</t>
        </is>
      </c>
      <c r="E132" t="inlineStr">
        <is>
          <t>https://www.museumofcambridge.org.uk/events/</t>
        </is>
      </c>
      <c r="F132" t="inlineStr"/>
      <c r="G132" t="inlineStr">
        <is>
          <t>Центр</t>
        </is>
      </c>
      <c r="H132" t="inlineStr"/>
      <c r="I132" t="inlineStr">
        <is>
          <t>Ежедневно</t>
        </is>
      </c>
      <c r="J132" t="n">
        <v>2</v>
      </c>
      <c r="K132" t="inlineStr">
        <is>
          <t>да</t>
        </is>
      </c>
      <c r="L132" t="inlineStr">
        <is>
          <t>Этап 6: подключён — Museum of Cambridge — REST The Events Calendar</t>
        </is>
      </c>
      <c r="O132" t="inlineStr">
        <is>
          <t>2026-09-28</t>
        </is>
      </c>
    </row>
    <row r="133">
      <c r="A133" s="33" t="inlineStr">
        <is>
          <t>S134</t>
        </is>
      </c>
      <c r="B133" t="inlineStr">
        <is>
          <t>Семейные источники</t>
        </is>
      </c>
      <c r="C133" t="inlineStr">
        <is>
          <t>Centre for Computing History</t>
        </is>
      </c>
      <c r="D133" t="inlineStr">
        <is>
          <t>Музей</t>
        </is>
      </c>
      <c r="E133" t="inlineStr">
        <is>
          <t>https://www.computinghistory.org.uk/pages/30677/What-s-On/</t>
        </is>
      </c>
      <c r="F133" t="inlineStr"/>
      <c r="G133" t="inlineStr">
        <is>
          <t>Центр</t>
        </is>
      </c>
      <c r="H133" t="inlineStr"/>
      <c r="I133" t="inlineStr">
        <is>
          <t>Ежедневно</t>
        </is>
      </c>
      <c r="J133" t="n">
        <v>2</v>
      </c>
      <c r="K133" t="inlineStr">
        <is>
          <t>да</t>
        </is>
      </c>
      <c r="L133" t="inlineStr">
        <is>
          <t>Этап 6: подключён — Centre for Computing History — страница What's On, дата и название в ссылке</t>
        </is>
      </c>
      <c r="O133" t="inlineStr">
        <is>
          <t>2026-09-28</t>
        </is>
      </c>
    </row>
    <row r="134">
      <c r="A134" s="33" t="inlineStr">
        <is>
          <t>S132</t>
        </is>
      </c>
      <c r="B134" t="inlineStr">
        <is>
          <t>Семейные места и аттракционы</t>
        </is>
      </c>
      <c r="C134" t="inlineStr">
        <is>
          <t>Milton Country Park</t>
        </is>
      </c>
      <c r="D134" t="inlineStr">
        <is>
          <t>Место</t>
        </is>
      </c>
      <c r="E134" t="inlineStr">
        <is>
          <t>https://www.miltoncountrypark.org/events</t>
        </is>
      </c>
      <c r="F134" t="inlineStr"/>
      <c r="G134" t="inlineStr">
        <is>
          <t>До 30 мин</t>
        </is>
      </c>
      <c r="H134" t="inlineStr"/>
      <c r="I134" t="inlineStr">
        <is>
          <t>Ежедневно</t>
        </is>
      </c>
      <c r="J134" t="n">
        <v>2</v>
      </c>
      <c r="K134" t="inlineStr">
        <is>
          <t>да</t>
        </is>
      </c>
      <c r="L134" t="inlineStr">
        <is>
          <t>Этап 6: подключён — Milton Country Park (Wix): список /events — название, день, место</t>
        </is>
      </c>
      <c r="O134" t="inlineStr">
        <is>
          <t>2026-09-28</t>
        </is>
      </c>
    </row>
    <row r="135">
      <c r="A135" s="32" t="inlineStr">
        <is>
          <t>S133</t>
        </is>
      </c>
      <c r="B135" t="inlineStr">
        <is>
          <t>Семейные места и аттракционы</t>
        </is>
      </c>
      <c r="C135" t="inlineStr">
        <is>
          <t>Nene Park / Ferry Meadows</t>
        </is>
      </c>
      <c r="D135" t="inlineStr">
        <is>
          <t>Место</t>
        </is>
      </c>
      <c r="E135" t="inlineStr">
        <is>
          <t>https://www.nenepark.org.uk/events/</t>
        </is>
      </c>
      <c r="F135" t="inlineStr"/>
      <c r="G135" t="inlineStr">
        <is>
          <t>Кембриджшир</t>
        </is>
      </c>
      <c r="H135" t="inlineStr"/>
      <c r="I135" t="inlineStr">
        <is>
          <t>Ежедневно</t>
        </is>
      </c>
      <c r="J135" t="n">
        <v>2</v>
      </c>
      <c r="K135" t="inlineStr">
        <is>
          <t>нет</t>
        </is>
      </c>
      <c r="L135" t="inlineStr">
        <is>
          <t>Этап 6: отложен — Nene Park / Ferry Meadows: при проверке JSON-LD Event на /events/ (24 события), но при сборе сайт начал обрывать соединение и отвечать 403 — защита от ботов, не обходим; коллектор написан (family_misc.NenePark), из прогона убран — повторить позже / этап 6b</t>
        </is>
      </c>
      <c r="O135" t="inlineStr">
        <is>
          <t>2026-09-28</t>
        </is>
      </c>
    </row>
    <row r="136">
      <c r="A136" s="19" t="inlineStr">
        <is>
          <t>S135</t>
        </is>
      </c>
      <c r="B136" t="inlineStr">
        <is>
          <t>Семейные места и аттракционы</t>
        </is>
      </c>
      <c r="C136" t="inlineStr">
        <is>
          <t>Shepreth Wildlife Park</t>
        </is>
      </c>
      <c r="D136" t="inlineStr">
        <is>
          <t>Место</t>
        </is>
      </c>
      <c r="E136" t="inlineStr">
        <is>
          <t>https://www.sheprethwildlifepark.co.uk</t>
        </is>
      </c>
      <c r="F136" t="inlineStr"/>
      <c r="G136" t="inlineStr">
        <is>
          <t>До 30 мин</t>
        </is>
      </c>
      <c r="H136" t="inlineStr"/>
      <c r="I136" t="inlineStr">
        <is>
          <t>Ежедневно</t>
        </is>
      </c>
      <c r="J136" t="n">
        <v>2</v>
      </c>
      <c r="K136" t="inlineStr">
        <is>
          <t>нет</t>
        </is>
      </c>
      <c r="L136" t="inlineStr">
        <is>
          <t>Этап 6: закрыт — Shepreth Wildlife Park: сайт отвечает 403 / обрывает соединение — не обходим; этап 6b</t>
        </is>
      </c>
      <c r="O136" t="inlineStr">
        <is>
          <t>2026-09-28</t>
        </is>
      </c>
    </row>
    <row r="137">
      <c r="A137" t="inlineStr">
        <is>
          <t>S136</t>
        </is>
      </c>
      <c r="B137" t="inlineStr">
        <is>
          <t>Семейные места и аттракционы</t>
        </is>
      </c>
      <c r="C137" t="inlineStr">
        <is>
          <t>Linton Zoo</t>
        </is>
      </c>
      <c r="D137" t="inlineStr">
        <is>
          <t>Место</t>
        </is>
      </c>
      <c r="E137" t="inlineStr">
        <is>
          <t>https://lintonzoo.com</t>
        </is>
      </c>
      <c r="F137" t="inlineStr"/>
      <c r="G137" t="inlineStr">
        <is>
          <t>До 30 мин</t>
        </is>
      </c>
      <c r="H137" t="inlineStr"/>
      <c r="I137" t="inlineStr">
        <is>
          <t>Ежедневно</t>
        </is>
      </c>
      <c r="J137" t="n">
        <v>2</v>
      </c>
      <c r="K137" t="inlineStr">
        <is>
          <t>да</t>
        </is>
      </c>
      <c r="L137" t="inlineStr">
        <is>
          <t>Этап 6: не нужен — Linton Zoo: на сайте и в DigiTickets — только входные билеты, событий нет; сезонные события — через статьи</t>
        </is>
      </c>
      <c r="O137" t="inlineStr">
        <is>
          <t>2026-09-28</t>
        </is>
      </c>
    </row>
    <row r="138">
      <c r="A138" s="19" t="inlineStr">
        <is>
          <t>S137</t>
        </is>
      </c>
      <c r="B138" t="inlineStr">
        <is>
          <t>Семейные места и аттракционы</t>
        </is>
      </c>
      <c r="C138" t="inlineStr">
        <is>
          <t>Hamerton Zoo Park</t>
        </is>
      </c>
      <c r="D138" t="inlineStr">
        <is>
          <t>Место</t>
        </is>
      </c>
      <c r="E138" t="inlineStr">
        <is>
          <t>https://www.hamertonzoopark.com</t>
        </is>
      </c>
      <c r="F138" t="inlineStr"/>
      <c r="G138" t="inlineStr">
        <is>
          <t>До часа</t>
        </is>
      </c>
      <c r="H138" t="inlineStr"/>
      <c r="I138" t="inlineStr">
        <is>
          <t>Ежедневно</t>
        </is>
      </c>
      <c r="J138" t="n">
        <v>2</v>
      </c>
      <c r="K138" t="inlineStr">
        <is>
          <t>нет</t>
        </is>
      </c>
      <c r="L138" t="inlineStr">
        <is>
          <t>Этап 6: закрыт — Hamerton Zoo Park: 429 на robots.txt и главную — считаем запретом, повторить на этапе 6b</t>
        </is>
      </c>
      <c r="O138" t="inlineStr">
        <is>
          <t>2026-09-28</t>
        </is>
      </c>
    </row>
    <row r="139">
      <c r="A139" s="32" t="inlineStr">
        <is>
          <t>S138</t>
        </is>
      </c>
      <c r="B139" t="inlineStr">
        <is>
          <t>Семейные места и аттракционы</t>
        </is>
      </c>
      <c r="C139" t="inlineStr">
        <is>
          <t>Wimpole Home Farm (National Trust)</t>
        </is>
      </c>
      <c r="D139" t="inlineStr">
        <is>
          <t>Место</t>
        </is>
      </c>
      <c r="E139" t="inlineStr">
        <is>
          <t>https://www.nationaltrust.org.uk/visit/cambridgeshire/wimpole</t>
        </is>
      </c>
      <c r="F139" t="inlineStr"/>
      <c r="G139" t="inlineStr">
        <is>
          <t>До 30 мин</t>
        </is>
      </c>
      <c r="H139" t="inlineStr"/>
      <c r="I139" t="inlineStr">
        <is>
          <t>Ежедневно</t>
        </is>
      </c>
      <c r="J139" t="n">
        <v>2</v>
      </c>
      <c r="K139" t="inlineStr">
        <is>
          <t>нет</t>
        </is>
      </c>
      <c r="L139" t="inlineStr">
        <is>
          <t>Этап 6: вручную — Wimpole Home Farm — National Trust (S070): защита Radware, ручной сезонный календарь</t>
        </is>
      </c>
      <c r="O139" t="inlineStr">
        <is>
          <t>2026-09-28</t>
        </is>
      </c>
    </row>
    <row r="140">
      <c r="A140" s="32" t="inlineStr">
        <is>
          <t>S139</t>
        </is>
      </c>
      <c r="B140" t="inlineStr">
        <is>
          <t>Семейные места и аттракционы</t>
        </is>
      </c>
      <c r="C140" t="inlineStr">
        <is>
          <t>Audley End House (English Heritage)</t>
        </is>
      </c>
      <c r="D140" t="inlineStr">
        <is>
          <t>Место</t>
        </is>
      </c>
      <c r="E140" t="inlineStr">
        <is>
          <t>https://www.english-heritage.org.uk/visit/places/audley-end-house-and-gardens/events/</t>
        </is>
      </c>
      <c r="F140" t="inlineStr"/>
      <c r="G140" t="inlineStr">
        <is>
          <t>До 30 мин</t>
        </is>
      </c>
      <c r="H140" t="inlineStr"/>
      <c r="I140" t="inlineStr">
        <is>
          <t>Ежедневно</t>
        </is>
      </c>
      <c r="J140" t="n">
        <v>2</v>
      </c>
      <c r="K140" t="inlineStr">
        <is>
          <t>да</t>
        </is>
      </c>
      <c r="L140" t="inlineStr">
        <is>
          <t>Этап 6: отложен — Audley End (English Heritage): события на странице загружаются скриптом, в HTML дат нет; JSON-LD нет — этап 6b (поиск) или ручной сезонный календарь</t>
        </is>
      </c>
      <c r="O140" t="inlineStr">
        <is>
          <t>2026-09-28</t>
        </is>
      </c>
    </row>
    <row r="141">
      <c r="A141" s="32" t="inlineStr">
        <is>
          <t>S140</t>
        </is>
      </c>
      <c r="B141" t="inlineStr">
        <is>
          <t>Семейные места и аттракционы</t>
        </is>
      </c>
      <c r="C141" t="inlineStr">
        <is>
          <t>Woburn Safari Park</t>
        </is>
      </c>
      <c r="D141" t="inlineStr">
        <is>
          <t>Место</t>
        </is>
      </c>
      <c r="E141" t="inlineStr">
        <is>
          <t>https://www.woburnsafari.co.uk</t>
        </is>
      </c>
      <c r="F141" t="inlineStr"/>
      <c r="G141" t="inlineStr">
        <is>
          <t>40–60 км</t>
        </is>
      </c>
      <c r="H141" t="inlineStr"/>
      <c r="I141" t="inlineStr">
        <is>
          <t>Ежедневно</t>
        </is>
      </c>
      <c r="J141" t="n">
        <v>2</v>
      </c>
      <c r="K141" t="inlineStr">
        <is>
          <t>да</t>
        </is>
      </c>
      <c r="L141" t="inlineStr">
        <is>
          <t>Этап 6: отложен — Woburn Safari Park: страница событий отвечает 500; вне графства, ~55 км — только события ≥ 7 по правилу 40–60 км</t>
        </is>
      </c>
      <c r="O141" t="inlineStr">
        <is>
          <t>2026-09-28</t>
        </is>
      </c>
    </row>
    <row r="142">
      <c r="A142" t="inlineStr">
        <is>
          <t>S141</t>
        </is>
      </c>
      <c r="B142" t="inlineStr">
        <is>
          <t>Церкви</t>
        </is>
      </c>
      <c r="C142" t="inlineStr">
        <is>
          <t>A Church Near You (Church of England)</t>
        </is>
      </c>
      <c r="D142" t="inlineStr">
        <is>
          <t>Каталог</t>
        </is>
      </c>
      <c r="E142" t="inlineStr">
        <is>
          <t>https://www.achurchnearyou.com</t>
        </is>
      </c>
      <c r="F142" t="inlineStr"/>
      <c r="G142" t="inlineStr">
        <is>
          <t>Графство</t>
        </is>
      </c>
      <c r="H142" t="inlineStr"/>
      <c r="I142" t="inlineStr">
        <is>
          <t>Ежедневно</t>
        </is>
      </c>
      <c r="J142" t="n">
        <v>2</v>
      </c>
      <c r="K142" t="inlineStr">
        <is>
          <t>да</t>
        </is>
      </c>
      <c r="L142" t="inlineStr">
        <is>
          <t>Этап 6: не нужен — A Church Near You: robots.txt разрешает (кроме /christmas/events/), но события — по страницам каждого прихода (сотни в епархии Ely) и в основном регулярные службы; единого источника на графство нет. Концерты крупных церквей уже приходят через Ents24 (King's Chapel, Great St Mary's), University What's On (обеденные концерты GSM) и Visit Cambridge; пропуски — проверить на этапе 6b</t>
        </is>
      </c>
      <c r="O142" t="inlineStr">
        <is>
          <t>2026-09-28</t>
        </is>
      </c>
    </row>
    <row r="143">
      <c r="A143" s="19" t="inlineStr">
        <is>
          <t>S142</t>
        </is>
      </c>
      <c r="B143" t="inlineStr">
        <is>
          <t>Церкви</t>
        </is>
      </c>
      <c r="C143" t="inlineStr">
        <is>
          <t>ChurchSuite</t>
        </is>
      </c>
      <c r="D143" t="inlineStr">
        <is>
          <t>Каталог</t>
        </is>
      </c>
      <c r="E143" t="inlineStr">
        <is>
          <t>https://churchsuite.com</t>
        </is>
      </c>
      <c r="F143" t="inlineStr"/>
      <c r="G143" t="inlineStr">
        <is>
          <t>Графство</t>
        </is>
      </c>
      <c r="H143" t="inlineStr"/>
      <c r="I143" t="inlineStr">
        <is>
          <t>Ежедневно</t>
        </is>
      </c>
      <c r="J143" t="n">
        <v>2</v>
      </c>
      <c r="K143" t="inlineStr">
        <is>
          <t>нет</t>
        </is>
      </c>
      <c r="L143" t="inlineStr">
        <is>
          <t>Этап 6: закрыт — ChurchSuite: churchsuite.com за Cloudflare (403) — не обходим; календари отдельных приходов (&lt;приход&gt;.churchsuite.com) — если найдутся на этапе 6b</t>
        </is>
      </c>
      <c r="O143" t="inlineStr">
        <is>
          <t>2026-09-28</t>
        </is>
      </c>
    </row>
    <row r="144">
      <c r="A144" t="inlineStr">
        <is>
          <t>S143</t>
        </is>
      </c>
      <c r="B144" t="inlineStr">
        <is>
          <t>Церкви</t>
        </is>
      </c>
      <c r="C144" t="inlineStr">
        <is>
          <t>King's College Chapel</t>
        </is>
      </c>
      <c r="D144" t="inlineStr">
        <is>
          <t>Площадка</t>
        </is>
      </c>
      <c r="E144" t="inlineStr">
        <is>
          <t>https://www.kings.cam.ac.uk/chapel/music-chapel/concerts-kings</t>
        </is>
      </c>
      <c r="F144" t="inlineStr"/>
      <c r="G144" t="inlineStr">
        <is>
          <t>Центр</t>
        </is>
      </c>
      <c r="H144" t="inlineStr"/>
      <c r="I144" t="inlineStr">
        <is>
          <t>Ежедневно</t>
        </is>
      </c>
      <c r="J144" t="n">
        <v>2</v>
      </c>
      <c r="K144" t="inlineStr">
        <is>
          <t>да</t>
        </is>
      </c>
      <c r="L144" t="inlineStr">
        <is>
          <t>Этап 6: покрыт — King's College Chapel: страница концертов без дат в HTML; концерты есть в Ents24 (S006) и Visit Cambridge</t>
        </is>
      </c>
      <c r="O144" t="inlineStr">
        <is>
          <t>2026-09-28</t>
        </is>
      </c>
    </row>
    <row r="145">
      <c r="A145" t="inlineStr">
        <is>
          <t>S144</t>
        </is>
      </c>
      <c r="B145" t="inlineStr">
        <is>
          <t>Церкви</t>
        </is>
      </c>
      <c r="C145" t="inlineStr">
        <is>
          <t>St John's College Chapel</t>
        </is>
      </c>
      <c r="D145" t="inlineStr">
        <is>
          <t>Площадка</t>
        </is>
      </c>
      <c r="E145" t="inlineStr">
        <is>
          <t>https://www.joh.cam.ac.uk/chapel-and-choir/chapel-services-and-events</t>
        </is>
      </c>
      <c r="F145" t="inlineStr"/>
      <c r="G145" t="inlineStr">
        <is>
          <t>Центр</t>
        </is>
      </c>
      <c r="H145" t="inlineStr"/>
      <c r="I145" t="inlineStr">
        <is>
          <t>Ежедневно</t>
        </is>
      </c>
      <c r="J145" t="n">
        <v>2</v>
      </c>
      <c r="K145" t="inlineStr">
        <is>
          <t>да</t>
        </is>
      </c>
      <c r="L145" t="inlineStr">
        <is>
          <t>Этап 6: покрыт — St John's College Chapel: события — отдельными страницами без списка с датами; крупные концерты — в Visit Cambridge</t>
        </is>
      </c>
      <c r="O145" t="inlineStr">
        <is>
          <t>2026-09-28</t>
        </is>
      </c>
    </row>
    <row r="146">
      <c r="A146" s="19" t="inlineStr">
        <is>
          <t>S145</t>
        </is>
      </c>
      <c r="B146" t="inlineStr">
        <is>
          <t>Церкви</t>
        </is>
      </c>
      <c r="C146" t="inlineStr">
        <is>
          <t>Trinity College Chapel / Great St Mary's</t>
        </is>
      </c>
      <c r="D146" t="inlineStr">
        <is>
          <t>Площадка</t>
        </is>
      </c>
      <c r="E146" t="inlineStr">
        <is>
          <t>https://www.greatstmarys.org/whats-on</t>
        </is>
      </c>
      <c r="F146" t="inlineStr"/>
      <c r="G146" t="inlineStr">
        <is>
          <t>Центр</t>
        </is>
      </c>
      <c r="H146" t="inlineStr"/>
      <c r="I146" t="inlineStr">
        <is>
          <t>Ежедневно</t>
        </is>
      </c>
      <c r="J146" t="n">
        <v>2</v>
      </c>
      <c r="K146" t="inlineStr">
        <is>
          <t>нет</t>
        </is>
      </c>
      <c r="L146" t="inlineStr">
        <is>
          <t>Этап 6: закрыт — Trinity College Chapel: ошибка сертификата TLS; Great St Mary's (gsm.cam.ac.uk — 502, greatstmarys.org — страница на скриптах): обеденные концерты — через University What's On (S048)</t>
        </is>
      </c>
      <c r="O146" t="inlineStr">
        <is>
          <t>2026-09-28</t>
        </is>
      </c>
    </row>
    <row r="147">
      <c r="A147" t="inlineStr">
        <is>
          <t>S146</t>
        </is>
      </c>
      <c r="B147" t="inlineStr">
        <is>
          <t>Церкви</t>
        </is>
      </c>
      <c r="C147" t="inlineStr">
        <is>
          <t>Round Church / St Botolph's</t>
        </is>
      </c>
      <c r="D147" t="inlineStr">
        <is>
          <t>Площадка</t>
        </is>
      </c>
      <c r="E147" t="inlineStr">
        <is>
          <t>https://roundchurchcambridge.org</t>
        </is>
      </c>
      <c r="F147" t="inlineStr"/>
      <c r="G147" t="inlineStr">
        <is>
          <t>Центр</t>
        </is>
      </c>
      <c r="H147" t="inlineStr"/>
      <c r="I147" t="inlineStr">
        <is>
          <t>Ежедневно</t>
        </is>
      </c>
      <c r="J147" t="n">
        <v>2</v>
      </c>
      <c r="K147" t="inlineStr">
        <is>
          <t>да</t>
        </is>
      </c>
      <c r="L147" t="inlineStr">
        <is>
          <t>Этап 6: не нужен — Round Church: сайт визит-центра, событий в афише нет; St Botolph's — домен отвечает 502</t>
        </is>
      </c>
      <c r="O147" t="inlineStr">
        <is>
          <t>2026-09-28</t>
        </is>
      </c>
    </row>
    <row r="148">
      <c r="A148" t="inlineStr">
        <is>
          <t>S147</t>
        </is>
      </c>
      <c r="B148" t="inlineStr">
        <is>
          <t>Ярмарки</t>
        </is>
      </c>
      <c r="C148" t="inlineStr">
        <is>
          <t>Stourbridge Fair, Big Weekend, включение огней</t>
        </is>
      </c>
      <c r="D148" t="inlineStr">
        <is>
          <t>Ежегодное</t>
        </is>
      </c>
      <c r="E148" t="inlineStr">
        <is>
          <t>https://cambridgeppf.org/leper-chapel/</t>
        </is>
      </c>
      <c r="F148" t="inlineStr"/>
      <c r="G148" t="inlineStr">
        <is>
          <t>Центр</t>
        </is>
      </c>
      <c r="H148" t="inlineStr"/>
      <c r="I148" t="inlineStr">
        <is>
          <t>Ежедневно</t>
        </is>
      </c>
      <c r="J148" t="n">
        <v>2</v>
      </c>
      <c r="K148" t="inlineStr">
        <is>
          <t>—</t>
        </is>
      </c>
      <c r="L148" t="inlineStr">
        <is>
          <t>Этап 6: ежегодное — Stourbridge Fair (Leper Chapel, CPPF) — recurring R22; Big Weekend — R23; включение рождественских огней — R24</t>
        </is>
      </c>
      <c r="O148" t="inlineStr">
        <is>
          <t>2026-09-28</t>
        </is>
      </c>
    </row>
  </sheetData>
  <autoFilter ref="A1:O98"/>
  <dataValidations count="3">
    <dataValidation sqref="J2:J500" showDropDown="0" showInputMessage="0" showErrorMessage="0" allowBlank="1" type="list" errorStyle="stop" operator="between">
      <formula1>"1,2,3"</formula1>
      <formula2>0</formula2>
    </dataValidation>
    <dataValidation sqref="K2:K500" showDropDown="0" showInputMessage="0" showErrorMessage="0" allowBlank="1" type="list" errorStyle="stop" operator="between">
      <formula1>"да,проверить,нет"</formula1>
      <formula2>0</formula2>
    </dataValidation>
    <dataValidation sqref="G2:G500" showDropDown="0" showInputMessage="0" showErrorMessage="0" allowBlank="1" type="list" errorStyle="stop" operator="between">
      <formula1>"Центр,30 мин,Час,Центр + 30 мин,Центр + час,30 мин + час"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style="11" min="1" max="1"/>
    <col width="36" customWidth="1" style="11" min="2" max="2"/>
    <col width="12" customWidth="1" style="11" min="3" max="3"/>
    <col width="18" customWidth="1" style="11" min="4" max="4"/>
    <col width="50" customWidth="1" style="11" min="5" max="5"/>
    <col width="70" customWidth="1" style="11" min="6" max="6"/>
    <col width="50" customWidth="1" style="11" min="7" max="7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URL проверен</t>
        </is>
      </c>
      <c r="D1" s="20" t="inlineStr">
        <is>
          <t>Способ сбора</t>
        </is>
      </c>
      <c r="E1" s="20" t="inlineStr">
        <is>
          <t>Endpoint</t>
        </is>
      </c>
      <c r="F1" s="20" t="inlineStr">
        <is>
          <t>Что нашёл</t>
        </is>
      </c>
      <c r="G1" s="20" t="inlineStr">
        <is>
          <t>Что не получилось</t>
        </is>
      </c>
    </row>
    <row r="2">
      <c r="A2" s="21" t="inlineStr">
        <is>
          <t>S001</t>
        </is>
      </c>
      <c r="B2" s="21" t="inlineStr">
        <is>
          <t>Visit Cambridge — events</t>
        </is>
      </c>
      <c r="C2" s="22" t="inlineStr">
        <is>
          <t>да</t>
        </is>
      </c>
      <c r="D2" s="21" t="inlineStr">
        <is>
          <t>API + HTML</t>
        </is>
      </c>
      <c r="E2" s="21" t="inlineStr">
        <is>
          <t>https://www.visitcambridge.org/wp-json/vc-map/v1/events</t>
        </is>
      </c>
      <c r="F2" s="21" t="inlineStr">
        <is>
          <t>https://www.visitcambridge.org — 200; alternate-фиды: https://www.visitcambridge.org/wp-json/wp/v2/pages/26, https://www.visitcambridge.org/wp-json/oembed/1.0/embed?url=https%3A%2F%2Fwww.visitcambridge.org%2F; WordPress
https://www.visitcambridge.org/whats-on/ — 200; alternate-фиды: https://www.visitcambridge.org/wp-json/wp/v2/pages/553, https://www.visitcambridge.org/wp-json/oembed/1.0/embed?url=https%3A%2F%2Fwww.visitcambridge.org%2Fwhats-on%2F; WordPress
https://www.visitcambridge.org/event-categories/festivals/ — 200; alternate-фиды: https://www.visitcambridge.org/event-categories/festivals/feed/; WordPress
https://www.visitcambridge.org/wp-json/vc-map/v1/events — 200; JSON</t>
        </is>
      </c>
      <c r="G2" s="21" t="inlineStr"/>
    </row>
    <row r="3">
      <c r="A3" s="21" t="inlineStr">
        <is>
          <t>S002</t>
        </is>
      </c>
      <c r="B3" s="21" t="inlineStr">
        <is>
          <t>What's On In Cambridge</t>
        </is>
      </c>
      <c r="C3" s="22" t="inlineStr">
        <is>
          <t>да</t>
        </is>
      </c>
      <c r="D3" s="21" t="inlineStr">
        <is>
          <t>RSS</t>
        </is>
      </c>
      <c r="E3" s="21" t="inlineStr">
        <is>
          <t>https://www.whatsonincambridge.com/feed/</t>
        </is>
      </c>
      <c r="F3" s="21" t="inlineStr">
        <is>
          <t>https://www.whatsonincambridge.com/__superjs/challenge?u=%2Fevents%2F — 200
https://www.whatsonincambridge.com/feed/ — 200; фид, записей: 10</t>
        </is>
      </c>
      <c r="G3" s="21" t="inlineStr">
        <is>
          <t>https://www.whatsonincambridge.com/events/ — JS-проверка «SuperJS» (бот-блок), HTML без браузера недоступен</t>
        </is>
      </c>
    </row>
    <row r="4">
      <c r="A4" s="21" t="inlineStr">
        <is>
          <t>S003</t>
        </is>
      </c>
      <c r="B4" s="21" t="inlineStr">
        <is>
          <t>Cambridge Independent — What's On</t>
        </is>
      </c>
      <c r="C4" s="22" t="inlineStr">
        <is>
          <t>да</t>
        </is>
      </c>
      <c r="D4" s="21" t="inlineStr">
        <is>
          <t>RSS</t>
        </is>
      </c>
      <c r="E4" s="21" t="inlineStr">
        <is>
          <t>https://www.cambridgeindependent.co.uk/_api/rss/cambridge_independent_whatson_feed.xml</t>
        </is>
      </c>
      <c r="F4" s="21" t="inlineStr">
        <is>
          <t>https://www.cambridgeindependent.co.uk/whats-on/ — 200
https://www.cambridgeindependent.co.uk/_api/rss/cambridge_independent_whatson_feed.xml — 200; фид, записей: 20</t>
        </is>
      </c>
      <c r="G4" s="21" t="inlineStr"/>
    </row>
    <row r="5">
      <c r="A5" s="21" t="inlineStr">
        <is>
          <t>S004</t>
        </is>
      </c>
      <c r="B5" s="21" t="inlineStr">
        <is>
          <t>Cambridge News / CambridgeshireLive</t>
        </is>
      </c>
      <c r="C5" s="22" t="inlineStr">
        <is>
          <t>да</t>
        </is>
      </c>
      <c r="D5" s="21" t="inlineStr">
        <is>
          <t>RSS</t>
        </is>
      </c>
      <c r="E5" s="21" t="inlineStr">
        <is>
          <t>https://www.cambridge-news.co.uk/whats-on/?service=rss</t>
        </is>
      </c>
      <c r="F5" s="21" t="inlineStr">
        <is>
          <t>https://www.cambridge-news.co.uk — 200; alternate-фиды: https://www.cambridge-news.co.uk/rss.xml
https://www.cambridge-news.co.uk/whats-on/ — 200; alternate-фиды: https://www.cambridge-news.co.uk/whats-on/rss.xml; билетная система: ecal
https://www.cambridge-news.co.uk/?service=rss — 200; фид, записей: 25
https://www.cambridge-news.co.uk/whats-on/?service=rss — 200; фид, записей: 15
https://www.cambridge-news.co.uk/whats-on/?service=rss — 200; фид, записей: 15</t>
        </is>
      </c>
      <c r="G5" s="21" t="inlineStr"/>
    </row>
    <row r="6">
      <c r="A6" s="21" t="inlineStr">
        <is>
          <t>S005</t>
        </is>
      </c>
      <c r="B6" s="21" t="inlineStr">
        <is>
          <t>Cambridge 105 — события</t>
        </is>
      </c>
      <c r="C6" s="22" t="inlineStr">
        <is>
          <t>да</t>
        </is>
      </c>
      <c r="D6" s="21" t="inlineStr">
        <is>
          <t>iCal</t>
        </is>
      </c>
      <c r="E6" s="21" t="inlineStr">
        <is>
          <t>https://cambridge105.co.uk/whatson/?ical=1</t>
        </is>
      </c>
      <c r="F6" s="21" t="inlineStr">
        <is>
          <t>https://cambridge105.co.uk — 200; alternate-фиды: https://cambridge105.co.uk/whatson/?ical=1, https://cambridge105.co.uk/wp-json/wp/v2/pages/44141, https://cambridge105.co.uk/wp-json/oembed/1.0/embed?url=https%3A%2F%2Fcambridge105.co.uk%2F; WordPress
https://cambridge105.co.uk/events/ — 200; alternate-фиды: https://cambridge105.co.uk/whatson/?ical=1, https://cambridge105.co.uk/wp-json/wp/v2/media/75261, https://cambridge105.co.uk/wp-json/oembed/1.0/embed?url=https%3A%2F%2Fcambridge105.co.uk%2Fevents%2F; WordPress
https://cambridge105.co.uk/feed/ — 200; фид, записей: 30
https://cambridge105.co.uk/events/?ical=1 — 200; iCal, событий: 22
https://cambridge105.co.uk/wp-json/tribe/events/v1/events — 200; JSON
https://cambridge105.co.uk/whatson/?ical=1 — 200; iCal, событий: 22</t>
        </is>
      </c>
      <c r="G6" s="21" t="inlineStr"/>
    </row>
    <row r="7">
      <c r="A7" s="21" t="inlineStr">
        <is>
          <t>S006</t>
        </is>
      </c>
      <c r="B7" s="21" t="inlineStr">
        <is>
          <t>Ents24 — Cambridge</t>
        </is>
      </c>
      <c r="C7" s="22" t="inlineStr">
        <is>
          <t>да</t>
        </is>
      </c>
      <c r="D7" s="21" t="inlineStr">
        <is>
          <t>JSON-LD</t>
        </is>
      </c>
      <c r="E7" s="21" t="inlineStr">
        <is>
          <t>https://www.ents24.com/whatson/cambridge</t>
        </is>
      </c>
      <c r="F7" s="21" t="inlineStr">
        <is>
          <t>https://www.ents24.com/whatson/cambridge — 200; JSON-LD Event: 37; билетная система: ents24, gigantic</t>
        </is>
      </c>
      <c r="G7" s="21" t="inlineStr"/>
    </row>
    <row r="8">
      <c r="A8" s="21" t="inlineStr">
        <is>
          <t>S007</t>
        </is>
      </c>
      <c r="B8" s="21" t="inlineStr">
        <is>
          <t>Skiddle — Cambridge</t>
        </is>
      </c>
      <c r="C8" s="22" t="inlineStr">
        <is>
          <t>да</t>
        </is>
      </c>
      <c r="D8" s="21" t="inlineStr">
        <is>
          <t>JSON-LD</t>
        </is>
      </c>
      <c r="E8" s="21" t="inlineStr">
        <is>
          <t>https://www.skiddle.com/whats-on/Cambridge/</t>
        </is>
      </c>
      <c r="F8" s="21" t="inlineStr">
        <is>
          <t>https://www.skiddle.com/whats-on/Cambridge/ — 200; JSON-LD Event: 49; билетная система: ecal, skiddle
https://www.skiddle.com/api/ — 200; билетная система: skiddle</t>
        </is>
      </c>
      <c r="G8" s="21" t="inlineStr"/>
    </row>
    <row r="9">
      <c r="A9" s="21" t="inlineStr">
        <is>
          <t>S008</t>
        </is>
      </c>
      <c r="B9" s="21" t="inlineStr">
        <is>
          <t>Eventbrite — Cambridge</t>
        </is>
      </c>
      <c r="C9" s="22" t="inlineStr">
        <is>
          <t>да</t>
        </is>
      </c>
      <c r="D9" s="21" t="inlineStr">
        <is>
          <t>JSON-LD</t>
        </is>
      </c>
      <c r="E9" s="21" t="inlineStr">
        <is>
          <t>https://www.eventbrite.co.uk/d/united-kingdom--cambridge/all-events/?page=N</t>
        </is>
      </c>
      <c r="F9" s="21" t="inlineStr">
        <is>
          <t>https://www.eventbrite.co.uk — 200; билетная система: eventbrite
https://www.eventbrite.co.uk/d/united-kingdom--cambridge/all-events/ — 200; JSON-LD Event: 20; билетная система: eventbrite</t>
        </is>
      </c>
      <c r="G9" s="21" t="inlineStr"/>
    </row>
    <row r="10">
      <c r="A10" s="21" t="inlineStr">
        <is>
          <t>S011</t>
        </is>
      </c>
      <c r="B10" s="21" t="inlineStr">
        <is>
          <t>Cambridge Corn Exchange</t>
        </is>
      </c>
      <c r="C10" s="22" t="inlineStr">
        <is>
          <t>да</t>
        </is>
      </c>
      <c r="D10" s="21" t="inlineStr">
        <is>
          <t>HTML + JSON-LD</t>
        </is>
      </c>
      <c r="E10" s="21" t="inlineStr">
        <is>
          <t>https://www.cornex.co.uk/events</t>
        </is>
      </c>
      <c r="F10" s="21" t="inlineStr">
        <is>
          <t>https://www.cambridgelivetickets.co.uk/ — 200
https://www.cornex.co.uk — 200
https://www.cornex.co.uk/events — 200
https://www.cambridgelivetickets.co.uk — 200
https://www.cornex.co.uk/events/alison-moyet-2 — 200; JSON-LD Event: 1</t>
        </is>
      </c>
      <c r="G10" s="21" t="inlineStr"/>
    </row>
    <row r="11">
      <c r="A11" s="21" t="inlineStr">
        <is>
          <t>S012</t>
        </is>
      </c>
      <c r="B11" s="21" t="inlineStr">
        <is>
          <t>Cambridge Junction</t>
        </is>
      </c>
      <c r="C11" s="22" t="inlineStr">
        <is>
          <t>да</t>
        </is>
      </c>
      <c r="D11" s="21" t="inlineStr">
        <is>
          <t>API + HTML</t>
        </is>
      </c>
      <c r="E11" s="21" t="inlineStr">
        <is>
          <t>https://www.junction.co.uk/wp-json/wp/v2/cj_events</t>
        </is>
      </c>
      <c r="F11" s="21" t="inlineStr">
        <is>
          <t>https://www.junction.co.uk — 200; alternate-фиды: https://www.junction.co.uk/feed/, https://www.junction.co.uk/comments/feed/, https://www.junction.co.uk/wp-json/oembed/1.0/embed?url=https%3A%2F%2Fwww.junction.co.uk%2F; WordPress; билетная система: ecal, spektrix
https://www.junction.co.uk/whats-on/ — 200; alternate-фиды: https://www.junction.co.uk/feed/, https://www.junction.co.uk/comments/feed/, https://www.junction.co.uk/wp-json/oembed/1.0/embed?url=https%3A%2F%2Fwww.junction.co.uk%2Fwhats-on%2F; WordPress; билетная система: ecal, spektrix
https://www.junction.co.uk/wp-json/wp/v2/cj_events?per_page=20 — 200; JSON
https://www.junction.co.uk/feed/ — 200; фид, записей: 12</t>
        </is>
      </c>
      <c r="G11" s="21" t="inlineStr"/>
    </row>
    <row r="12">
      <c r="A12" s="21" t="inlineStr">
        <is>
          <t>S018</t>
        </is>
      </c>
      <c r="B12" s="21" t="inlineStr">
        <is>
          <t>Cambridge United</t>
        </is>
      </c>
      <c r="C12" s="22" t="inlineStr">
        <is>
          <t>да</t>
        </is>
      </c>
      <c r="D12" s="21" t="inlineStr">
        <is>
          <t>iCal (fixtur.es) + HTML</t>
        </is>
      </c>
      <c r="E12" s="21" t="inlineStr">
        <is>
          <t>https://ics.fixtur.es/v2/home/cambridge-united-fc.ics</t>
        </is>
      </c>
      <c r="F12" s="21" t="inlineStr">
        <is>
          <t>https://www.cambridgeunited.com — 200
https://fixtur.es/en/team/cambridge-united-fc/home — 200; JSON-LD Event: 27
https://www.cambridgeunited.com/fixture/list/57 — 200
https://ics.fixtur.es/v2/home/cambridge-united-fc.ics — 200; iCal, событий: 188</t>
        </is>
      </c>
      <c r="G12" s="21" t="inlineStr"/>
    </row>
    <row r="13">
      <c r="A13" s="21" t="inlineStr">
        <is>
          <t>S021</t>
        </is>
      </c>
      <c r="B13" s="21" t="inlineStr">
        <is>
          <t>Newmarket Racecourses</t>
        </is>
      </c>
      <c r="C13" s="22" t="inlineStr">
        <is>
          <t>да</t>
        </is>
      </c>
      <c r="D13" s="21" t="inlineStr">
        <is>
          <t>JSON-LD</t>
        </is>
      </c>
      <c r="E13" s="21" t="inlineStr">
        <is>
          <t>https://www.thejockeyclub.co.uk/newmarket/events-tickets/</t>
        </is>
      </c>
      <c r="F13" s="21" t="inlineStr">
        <is>
          <t>https://www.thejockeyclub.co.uk/newmarket/ — 200
https://www.thejockeyclub.co.uk/newmarket/events-tickets/ — 200; JSON-LD Event: 14</t>
        </is>
      </c>
      <c r="G13" s="21" t="inlineStr"/>
    </row>
    <row r="14">
      <c r="A14" s="21" t="inlineStr">
        <is>
          <t>S026</t>
        </is>
      </c>
      <c r="B14" s="21" t="inlineStr">
        <is>
          <t>Chariots of Fire</t>
        </is>
      </c>
      <c r="C14" s="22" t="inlineStr">
        <is>
          <t>да</t>
        </is>
      </c>
      <c r="D14" s="21" t="inlineStr">
        <is>
          <t>JSON-LD (RunThrough)</t>
        </is>
      </c>
      <c r="E14" s="21" t="inlineStr">
        <is>
          <t>https://www.runthrough.co.uk/event/chariots-of-fire-september-2026</t>
        </is>
      </c>
      <c r="F14" s="21" t="inlineStr">
        <is>
          <t>https://www.chariots-of-fire.co.uk/ — 200; alternate-фиды: https://www.chariots-of-fire.co.uk/feed/, https://www.chariots-of-fire.co.uk/comments/feed/, https://www.chariots-of-fire.co.uk/wp-json/wp/v2/pages/21; WordPress
https://www.chariots-of-fire.co.uk/feed/ — 200; фид, записей: 10
https://www.runthrough.co.uk/event/chariots-of-fire-september-2026 — 200; JSON-LD Event: 1</t>
        </is>
      </c>
      <c r="G14" s="21" t="inlineStr"/>
    </row>
    <row r="15">
      <c r="A15" s="21" t="inlineStr">
        <is>
          <t>S028</t>
        </is>
      </c>
      <c r="B15" s="21" t="inlineStr">
        <is>
          <t>Cambridge Half Marathon</t>
        </is>
      </c>
      <c r="C15" s="22" t="inlineStr">
        <is>
          <t>да</t>
        </is>
      </c>
      <c r="D15" s="21" t="inlineStr">
        <is>
          <t>HTML</t>
        </is>
      </c>
      <c r="E15" s="21" t="inlineStr">
        <is>
          <t>https://cambridgehalfmarathon.com/</t>
        </is>
      </c>
      <c r="F15" s="21" t="inlineStr">
        <is>
          <t>https://cambridgehalfmarathon.com/ — 200</t>
        </is>
      </c>
      <c r="G15" s="21" t="inlineStr"/>
    </row>
    <row r="16">
      <c r="A16" s="21" t="inlineStr">
        <is>
          <t>S030</t>
        </is>
      </c>
      <c r="B16" s="21" t="inlineStr">
        <is>
          <t>Cambridge Festival (университет)</t>
        </is>
      </c>
      <c r="C16" s="22" t="inlineStr">
        <is>
          <t>да</t>
        </is>
      </c>
      <c r="D16" s="21" t="inlineStr">
        <is>
          <t>HTML (curl, пауза 10 с)</t>
        </is>
      </c>
      <c r="E16" s="21" t="inlineStr">
        <is>
          <t>https://www.festival.cam.ac.uk/events</t>
        </is>
      </c>
      <c r="F16" s="21" t="inlineStr">
        <is>
          <t>https://www.festival.cam.ac.uk/events — 200 через curl, robots.txt разрешает (Crawl-delay: 10); фидов и JSON-LD нет</t>
        </is>
      </c>
      <c r="G16" s="21" t="inlineStr">
        <is>
          <t>Pantheon отдаёт 403 Python-клиенту httpx (и на robots.txt), curl с тем же User-Agent — 200: блок по отпечатку клиента</t>
        </is>
      </c>
    </row>
    <row r="17">
      <c r="A17" s="21" t="inlineStr">
        <is>
          <t>S031</t>
        </is>
      </c>
      <c r="B17" s="21" t="inlineStr">
        <is>
          <t>Cambridge Folk Festival</t>
        </is>
      </c>
      <c r="C17" s="22" t="inlineStr">
        <is>
          <t>да</t>
        </is>
      </c>
      <c r="D17" s="21" t="inlineStr">
        <is>
          <t>HTML</t>
        </is>
      </c>
      <c r="E17" s="21" t="inlineStr">
        <is>
          <t>https://www.cambridgefolkfestival.co.uk/</t>
        </is>
      </c>
      <c r="F17" s="21" t="inlineStr">
        <is>
          <t>https://www.cambridgefolkfestival.co.uk/ — 200
https://www.cambridgefolkfestival.co.uk/ — 200</t>
        </is>
      </c>
      <c r="G17" s="21" t="inlineStr"/>
    </row>
    <row r="18">
      <c r="A18" s="21" t="inlineStr">
        <is>
          <t>S032</t>
        </is>
      </c>
      <c r="B18" s="21" t="inlineStr">
        <is>
          <t>Cambridge Beer Festival</t>
        </is>
      </c>
      <c r="C18" s="22" t="inlineStr">
        <is>
          <t>да</t>
        </is>
      </c>
      <c r="D18" s="21" t="inlineStr">
        <is>
          <t>iCal</t>
        </is>
      </c>
      <c r="E18" s="21" t="inlineStr">
        <is>
          <t>https://www.cambridgebeerfestival.com/events/?ical=1</t>
        </is>
      </c>
      <c r="F18" s="21" t="inlineStr">
        <is>
          <t>https://www.cambridgebeerfestival.com — 200; JSON-LD Event: 2; alternate-фиды: https://www.cambridgebeerfestival.com/events/?ical=1; WordPress + The Events Calendar; билетная система: ecal</t>
        </is>
      </c>
      <c r="G18" s="21" t="inlineStr"/>
    </row>
    <row r="19">
      <c r="A19" s="21" t="inlineStr">
        <is>
          <t>S033</t>
        </is>
      </c>
      <c r="B19" s="21" t="inlineStr">
        <is>
          <t>Strawberry Fair</t>
        </is>
      </c>
      <c r="C19" s="22" t="inlineStr">
        <is>
          <t>да</t>
        </is>
      </c>
      <c r="D19" s="21" t="inlineStr">
        <is>
          <t>JSON-LD</t>
        </is>
      </c>
      <c r="E19" s="21" t="inlineStr">
        <is>
          <t>https://strawberry-fair.org.uk/</t>
        </is>
      </c>
      <c r="F19" s="21" t="inlineStr">
        <is>
          <t>https://strawberry-fair.org.uk/ — 200; JSON-LD Event: 1
https://strawberry-fair.org.uk/feed/ — 200; JSON-LD Event: 1</t>
        </is>
      </c>
      <c r="G19" s="21" t="inlineStr"/>
    </row>
    <row r="20">
      <c r="A20" s="21" t="inlineStr">
        <is>
          <t>S038</t>
        </is>
      </c>
      <c r="B20" s="21" t="inlineStr">
        <is>
          <t>Mill Road Winter Fair</t>
        </is>
      </c>
      <c r="C20" s="22" t="inlineStr">
        <is>
          <t>да</t>
        </is>
      </c>
      <c r="D20" s="21" t="inlineStr">
        <is>
          <t>RSS</t>
        </is>
      </c>
      <c r="E20" s="21" t="inlineStr">
        <is>
          <t>https://www.millroadwinterfair.org/feed/</t>
        </is>
      </c>
      <c r="F20" s="21" t="inlineStr">
        <is>
          <t>https://www.millroadwinterfair.org — 200; alternate-фиды: https://www.millroadwinterfair.org/feed/, https://www.millroadwinterfair.org/comments/feed/, https://www.millroadwinterfair.org/wp-json/wp/v2/pages/22; WordPress
https://www.millroadwinterfair.org/feed/ — 200; фид, записей: 0</t>
        </is>
      </c>
      <c r="G20" s="21" t="inlineStr"/>
    </row>
    <row r="21">
      <c r="A21" s="21" t="inlineStr">
        <is>
          <t>S039</t>
        </is>
      </c>
      <c r="B21" s="21" t="inlineStr">
        <is>
          <t>Рождественские маркеты в центре</t>
        </is>
      </c>
      <c r="C21" s="22" t="inlineStr">
        <is>
          <t>да</t>
        </is>
      </c>
      <c r="D21" s="21" t="inlineStr">
        <is>
          <t>HTML</t>
        </is>
      </c>
      <c r="E21" s="21" t="inlineStr">
        <is>
          <t>https://www.christmasincambridge.co.uk/</t>
        </is>
      </c>
      <c r="F21" s="21" t="inlineStr">
        <is>
          <t>https://www.christmasincambridge.co.uk/ — 200
https://www.visitcambridge.org/event/christmas-in-cambridge/ — 200; alternate-фиды: https://www.visitcambridge.org/wp-json/oembed/1.0/embed?url=https%3A%2F%2Fwww.visitcambridge.org%2Fevent%2Fchristmas-in-cambridge%2F; WordPress</t>
        </is>
      </c>
      <c r="G21" s="21" t="inlineStr"/>
    </row>
    <row r="22">
      <c r="A22" s="21" t="inlineStr">
        <is>
          <t>S041</t>
        </is>
      </c>
      <c r="B22" s="21" t="inlineStr">
        <is>
          <t>Cambridge Arts Theatre</t>
        </is>
      </c>
      <c r="C22" s="23" t="inlineStr">
        <is>
          <t>проверить</t>
        </is>
      </c>
      <c r="D22" s="21" t="inlineStr">
        <is>
          <t>Через Ents24 (S006)</t>
        </is>
      </c>
      <c r="E22" s="21" t="inlineStr"/>
      <c r="F22" s="21" t="inlineStr"/>
      <c r="G22" s="21" t="inlineStr">
        <is>
          <t>https://www.artstheatre.co.uk — 403, Cloudflare challenge (cf-mitigated) и для httpx, и для curl</t>
        </is>
      </c>
    </row>
    <row r="23">
      <c r="A23" s="21" t="inlineStr">
        <is>
          <t>S042</t>
        </is>
      </c>
      <c r="B23" s="21" t="inlineStr">
        <is>
          <t>ADC Theatre</t>
        </is>
      </c>
      <c r="C23" s="22" t="inlineStr">
        <is>
          <t>да</t>
        </is>
      </c>
      <c r="D23" s="21" t="inlineStr">
        <is>
          <t>iCal</t>
        </is>
      </c>
      <c r="E23" s="21" t="inlineStr">
        <is>
          <t>https://www.camdram.net/venues/adc-theatre/diary.ics</t>
        </is>
      </c>
      <c r="F23" s="21" t="inlineStr">
        <is>
          <t>https://www.adctheatre.com — 200; билетная система: spektrix
https://www.adctheatre.com/whats-on/ — 200; билетная система: spektrix
https://www.camdram.net/venues/adc-theatre/diary.ics — 200; iCal, событий: 28
https://www.camdram.net/venues/adc-theatre/diary.json — 200; JSON</t>
        </is>
      </c>
      <c r="G23" s="21" t="inlineStr"/>
    </row>
    <row r="24">
      <c r="A24" s="21" t="inlineStr">
        <is>
          <t>S045</t>
        </is>
      </c>
      <c r="B24" s="21" t="inlineStr">
        <is>
          <t>Arts Picturehouse</t>
        </is>
      </c>
      <c r="C24" s="22" t="inlineStr">
        <is>
          <t>да</t>
        </is>
      </c>
      <c r="D24" s="21" t="inlineStr">
        <is>
          <t>HTML</t>
        </is>
      </c>
      <c r="E24" s="21" t="inlineStr">
        <is>
          <t>https://www.picturehouses.com/cinema/arts-picturehouse-cambridge</t>
        </is>
      </c>
      <c r="F24" s="21" t="inlineStr">
        <is>
          <t>https://www.picturehouses.com/cinema/arts-picturehouse-cambridge — 200; билетная система: ecal</t>
        </is>
      </c>
      <c r="G24" s="21" t="inlineStr"/>
    </row>
    <row r="25">
      <c r="A25" s="21" t="inlineStr">
        <is>
          <t>S047</t>
        </is>
      </c>
      <c r="B25" s="21" t="inlineStr">
        <is>
          <t>Talks.cam</t>
        </is>
      </c>
      <c r="C25" s="22" t="inlineStr">
        <is>
          <t>да</t>
        </is>
      </c>
      <c r="D25" s="21" t="inlineStr">
        <is>
          <t>iCal</t>
        </is>
      </c>
      <c r="E25" s="21" t="inlineStr">
        <is>
          <t>https://talks.cam.ac.uk/show/ics/{5606,5462,5358,5769,23088}/</t>
        </is>
      </c>
      <c r="F25" s="21" t="inlineStr">
        <is>
          <t>https://talks.cam.ac.uk — 200
https://talks.cam.ac.uk/document/documentation/ — 200
https://talks.cam.ac.uk/show/ics/5606/ — 200; iCal, событий: 15
https://talks.cam.ac.uk/show/ics/5462/ — 200; iCal, событий: 8
https://talks.cam.ac.uk/show/ics/5358/ — 200; iCal, событий: 8
https://talks.cam.ac.uk/show/ics/5769/ — 200; iCal, событий: 7
https://talks.cam.ac.uk/show/ics/23088/ — 200; iCal, событий: 55</t>
        </is>
      </c>
      <c r="G25" s="21" t="inlineStr"/>
    </row>
    <row r="26">
      <c r="A26" s="21" t="inlineStr">
        <is>
          <t>S048</t>
        </is>
      </c>
      <c r="B26" s="21" t="inlineStr">
        <is>
          <t>University of Cambridge — What's On</t>
        </is>
      </c>
      <c r="C26" s="22" t="inlineStr">
        <is>
          <t>да</t>
        </is>
      </c>
      <c r="D26" s="21" t="inlineStr">
        <is>
          <t>HTML</t>
        </is>
      </c>
      <c r="E26" s="21" t="inlineStr">
        <is>
          <t>https://www.admin.cam.ac.uk/whatson/</t>
        </is>
      </c>
      <c r="F26" s="21" t="inlineStr">
        <is>
          <t>https://www.admin.cam.ac.uk/whatson/ — 200</t>
        </is>
      </c>
      <c r="G26" s="21" t="inlineStr">
        <is>
          <t>webservices.admin.cam.ac.uk (iCal 76 событий, RSS) — robots.txt: Disallow: / — не собираем без решения
https://www.cam.ac.uk/whats-on — Pantheon 403 для httpx</t>
        </is>
      </c>
    </row>
    <row r="27">
      <c r="A27" s="21" t="inlineStr">
        <is>
          <t>S050</t>
        </is>
      </c>
      <c r="B27" s="21" t="inlineStr">
        <is>
          <t>Fitzwilliam Museum</t>
        </is>
      </c>
      <c r="C27" s="22" t="inlineStr">
        <is>
          <t>да</t>
        </is>
      </c>
      <c r="D27" s="21" t="inlineStr">
        <is>
          <t>RSS (выставки) + HTML (события)</t>
        </is>
      </c>
      <c r="E27" s="21" t="inlineStr">
        <is>
          <t>https://fitzmuseum.cam.ac.uk/feeds/exhibitions</t>
        </is>
      </c>
      <c r="F27" s="21" t="inlineStr">
        <is>
          <t>https://fitzmuseum.cam.ac.uk — 200; alternate-фиды: https://fitzmuseum.cam.ac.uk/feeds/news, https://fitzmuseum.cam.ac.uk/feeds/vacancies, https://fitzmuseum.cam.ac.uk/feeds/exhibitions
https://fitzmuseum.cam.ac.uk/events — 200; alternate-фиды: https://fitzmuseum.cam.ac.uk/feeds/news, https://fitzmuseum.cam.ac.uk/feeds/vacancies, https://fitzmuseum.cam.ac.uk/feeds/exhibitions
https://fitzmuseum.cam.ac.uk/feeds/exhibitions — 200; фид, записей: 20</t>
        </is>
      </c>
      <c r="G27" s="21" t="inlineStr"/>
    </row>
    <row r="28">
      <c r="A28" s="21" t="inlineStr">
        <is>
          <t>S051</t>
        </is>
      </c>
      <c r="B28" s="21" t="inlineStr">
        <is>
          <t>Kettle's Yard</t>
        </is>
      </c>
      <c r="C28" s="22" t="inlineStr">
        <is>
          <t>да</t>
        </is>
      </c>
      <c r="D28" s="21" t="inlineStr">
        <is>
          <t>HTML</t>
        </is>
      </c>
      <c r="E28" s="21" t="inlineStr">
        <is>
          <t>https://www.kettlesyard.cam.ac.uk/whats-on/</t>
        </is>
      </c>
      <c r="F28" s="21" t="inlineStr">
        <is>
          <t>https://www.kettlesyard.cam.ac.uk — 200
https://www.kettlesyard.cam.ac.uk/whats-on/ — 200</t>
        </is>
      </c>
      <c r="G28" s="21" t="inlineStr">
        <is>
          <t>https://www.kettlesyard.cam.ac.uk/feed/ — 500
https://www.kettlesyard.co.uk — ConnectError: [SSL: CERTIFICATE_VERIFY_FAILED] certificate verify failed: Hostname mismatch, certificate is not valid for 'www.kettlesyard.co.uk'. (_ssl.c:1016)
https://www.kettlesyard.co.uk/events/ — ConnectError: [SSL: CERTIFICATE_VERIFY_FAILED] certificate verify failed: Hostname mismatch, certificate is not valid for 'www.kettlesyard.co.uk'. (_ssl.c:1016)
https://www.kettlesyard.co.uk/feed/ — ConnectError: [SSL: CERTIFICATE_VERIFY_FAILED] certificate verify failed: Hostname mismatch, certificate is not valid for 'www.kettlesyard.co.uk'. (_ssl.c:1016)</t>
        </is>
      </c>
    </row>
    <row r="29">
      <c r="A29" s="21" t="inlineStr">
        <is>
          <t>S052</t>
        </is>
      </c>
      <c r="B29" s="21" t="inlineStr">
        <is>
          <t>University of Cambridge Museums (сводный)</t>
        </is>
      </c>
      <c r="C29" s="22" t="inlineStr">
        <is>
          <t>да</t>
        </is>
      </c>
      <c r="D29" s="21" t="inlineStr">
        <is>
          <t>HTML</t>
        </is>
      </c>
      <c r="E29" s="21" t="inlineStr">
        <is>
          <t>https://www.museums.cam.ac.uk/whats-on</t>
        </is>
      </c>
      <c r="F29" s="21" t="inlineStr">
        <is>
          <t>https://www.museums.cam.ac.uk — 200
https://www.museums.cam.ac.uk/whats-on — 200</t>
        </is>
      </c>
      <c r="G29" s="21" t="inlineStr"/>
    </row>
    <row r="30">
      <c r="A30" s="21" t="inlineStr">
        <is>
          <t>S056</t>
        </is>
      </c>
      <c r="B30" s="21" t="inlineStr">
        <is>
          <t>Семейные программы музеев</t>
        </is>
      </c>
      <c r="C30" s="23" t="inlineStr">
        <is>
          <t>проверить</t>
        </is>
      </c>
      <c r="D30" s="21" t="inlineStr">
        <is>
          <t>Производный (тег «дети»)</t>
        </is>
      </c>
      <c r="E30" s="21" t="inlineStr"/>
      <c r="F30" s="21" t="inlineStr"/>
      <c r="G30" s="21" t="inlineStr">
        <is>
          <t>своего URL нет по замыслу</t>
        </is>
      </c>
    </row>
    <row r="31">
      <c r="A31" s="21" t="inlineStr">
        <is>
          <t>S062</t>
        </is>
      </c>
      <c r="B31" s="21" t="inlineStr">
        <is>
          <t>Комедия на Corn Exchange / Junction / ADC</t>
        </is>
      </c>
      <c r="C31" s="23" t="inlineStr">
        <is>
          <t>проверить</t>
        </is>
      </c>
      <c r="D31" s="21" t="inlineStr">
        <is>
          <t>Производный (тег «комедия»)</t>
        </is>
      </c>
      <c r="E31" s="21" t="inlineStr"/>
      <c r="F31" s="21" t="inlineStr"/>
      <c r="G31" s="21" t="inlineStr">
        <is>
          <t>своего URL нет по замыслу</t>
        </is>
      </c>
    </row>
    <row r="32">
      <c r="A32" s="21" t="inlineStr">
        <is>
          <t>S065</t>
        </is>
      </c>
      <c r="B32" s="21" t="inlineStr">
        <is>
          <t>Open Cambridge</t>
        </is>
      </c>
      <c r="C32" s="22" t="inlineStr">
        <is>
          <t>да</t>
        </is>
      </c>
      <c r="D32" s="21" t="inlineStr">
        <is>
          <t>HTML (curl, пауза 10 с)</t>
        </is>
      </c>
      <c r="E32" s="21" t="inlineStr">
        <is>
          <t>https://www.opencambridge.cam.ac.uk/</t>
        </is>
      </c>
      <c r="F32" s="21" t="inlineStr">
        <is>
          <t>https://www.opencambridge.cam.ac.uk/ — 200 через curl; фидов нет</t>
        </is>
      </c>
      <c r="G32" s="21" t="inlineStr">
        <is>
          <t>Pantheon отдаёт 403 Python-клиенту httpx, curl — 200</t>
        </is>
      </c>
    </row>
    <row r="33">
      <c r="A33" s="21" t="inlineStr">
        <is>
          <t>S069</t>
        </is>
      </c>
      <c r="B33" s="21" t="inlineStr">
        <is>
          <t>Cambridge University Botanic Garden</t>
        </is>
      </c>
      <c r="C33" s="22" t="inlineStr">
        <is>
          <t>да</t>
        </is>
      </c>
      <c r="D33" s="21" t="inlineStr">
        <is>
          <t>HTML</t>
        </is>
      </c>
      <c r="E33" s="21" t="inlineStr">
        <is>
          <t>https://www.botanic.cam.ac.uk/whats-on/</t>
        </is>
      </c>
      <c r="F33" s="21" t="inlineStr">
        <is>
          <t>https://www.botanic.cam.ac.uk — 200; alternate-фиды: https://www.botanic.cam.ac.uk/wp-json/oembed/1.0/embed?url=https%3A%2F%2Fwww.botanic.cam.ac.uk%2F, https://www.botanic.cam.ac.uk/wp-json/wp/v2/pages/6; WordPress
https://www.botanic.cam.ac.uk/whats-on/ — 200; WordPress</t>
        </is>
      </c>
      <c r="G33" s="21" t="inlineStr"/>
    </row>
    <row r="34">
      <c r="A34" s="21" t="inlineStr">
        <is>
          <t>S070</t>
        </is>
      </c>
      <c r="B34" s="21" t="inlineStr">
        <is>
          <t>National Trust: Wimpole, Anglesey Abbey, Wicken Fen</t>
        </is>
      </c>
      <c r="C34" s="23" t="inlineStr">
        <is>
          <t>проверить</t>
        </is>
      </c>
      <c r="D34" s="21" t="inlineStr">
        <is>
          <t>Ручной сезонный</t>
        </is>
      </c>
      <c r="E34" s="21" t="inlineStr">
        <is>
          <t>https://www.nationaltrust.org.uk/visit/cambridgeshire/wimpole-estate/events</t>
        </is>
      </c>
      <c r="F34" s="21" t="inlineStr">
        <is>
          <t>https://www.nationaltrust.org.uk/visit/cambridgeshire/wimpole-estate/events — 200
https://www.nationaltrust.org.uk/visit/cambridgeshire/anglesey-abbey-gardens-and-lode-mill/events — 200
https://www.nationaltrust.org.uk/visit/cambridgeshire/wicken-fen-nature-reserve/events — 200</t>
        </is>
      </c>
      <c r="G34" s="21" t="inlineStr">
        <is>
          <t>nationaltrust.org.uk — после 1–2 запросов отдаёт страницу бот-защиты Radware
Wicken Fen: /wicken-fen-nature-reserve/events — страница 404; верный адрес не подтверждён</t>
        </is>
      </c>
    </row>
    <row r="35">
      <c r="A35" s="21" t="inlineStr">
        <is>
          <t>S072</t>
        </is>
      </c>
      <c r="B35" s="21" t="inlineStr">
        <is>
          <t>Cambridge City Council — городские события</t>
        </is>
      </c>
      <c r="C35" s="22" t="inlineStr">
        <is>
          <t>да</t>
        </is>
      </c>
      <c r="D35" s="21" t="inlineStr">
        <is>
          <t>HTML</t>
        </is>
      </c>
      <c r="E35" s="21" t="inlineStr">
        <is>
          <t>https://www.camcityevents.co.uk/events</t>
        </is>
      </c>
      <c r="F35" s="21" t="inlineStr">
        <is>
          <t>https://www.cambridge.gov.uk — 200
https://www.cambridge.gov.uk/summer-events — 200
https://www.camcityevents.co.uk/events — 200</t>
        </is>
      </c>
      <c r="G35" s="21" t="inlineStr">
        <is>
          <t>https://www.cambridge.gov.uk/fireworks — 404</t>
        </is>
      </c>
    </row>
    <row r="36">
      <c r="A36" s="21" t="inlineStr">
        <is>
          <t>S081</t>
        </is>
      </c>
      <c r="B36" s="21" t="inlineStr">
        <is>
          <t>Thriplow Daffodil Weekend</t>
        </is>
      </c>
      <c r="C36" s="22" t="inlineStr">
        <is>
          <t>да</t>
        </is>
      </c>
      <c r="D36" s="21" t="inlineStr">
        <is>
          <t>HTML</t>
        </is>
      </c>
      <c r="E36" s="21" t="inlineStr">
        <is>
          <t>https://www.thriplowdaffodils.org.uk</t>
        </is>
      </c>
      <c r="F36" s="21" t="inlineStr">
        <is>
          <t>https://www.thriplowdaffodils.org.uk — 200</t>
        </is>
      </c>
      <c r="G36" s="21" t="inlineStr"/>
    </row>
    <row r="37">
      <c r="A37" s="21" t="inlineStr">
        <is>
          <t>S082</t>
        </is>
      </c>
      <c r="B37" s="21" t="inlineStr">
        <is>
          <t>Cambridge Dragon Boat Festival (ACT)</t>
        </is>
      </c>
      <c r="C37" s="22" t="inlineStr">
        <is>
          <t>да</t>
        </is>
      </c>
      <c r="D37" s="21" t="inlineStr">
        <is>
          <t>HTML</t>
        </is>
      </c>
      <c r="E37" s="21" t="inlineStr">
        <is>
          <t>https://act4addenbrookes.org.uk/dragonboat/</t>
        </is>
      </c>
      <c r="F37" s="21" t="inlineStr">
        <is>
          <t>https://act4addenbrookes.org.uk — 200; alternate-фиды: https://act4addenbrookes.org.uk/feed/, https://act4addenbrookes.org.uk/comments/feed/, https://act4addenbrookes.org.uk/wp-json/oembed/1.0/embed?url=https%3A%2F%2Fact4addenbrookes.org.uk%2F; WordPress
https://act4addenbrookes.org.uk/events/cambridge-dragon-boat-festival-2026/ — 200; alternate-фиды: https://act4addenbrookes.org.uk/feed/, https://act4addenbrookes.org.uk/comments/feed/, https://act4addenbrookes.org.uk/wp-json/oembed/1.0/embed?url=https%3A%2F%2Fact4addenbrookes.org.uk%2Fevents%2Fcambridge-dragon-boat-festival-2026%2F; WordPress</t>
        </is>
      </c>
      <c r="G37" s="21" t="inlineStr"/>
    </row>
    <row r="38">
      <c r="A38" s="21" t="inlineStr">
        <is>
          <t>S087</t>
        </is>
      </c>
      <c r="B38" s="21" t="inlineStr">
        <is>
          <t>The Cambridge Foodies</t>
        </is>
      </c>
      <c r="C38" s="22" t="inlineStr">
        <is>
          <t>да</t>
        </is>
      </c>
      <c r="D38" s="21" t="inlineStr">
        <is>
          <t>RSS</t>
        </is>
      </c>
      <c r="E38" s="21" t="inlineStr">
        <is>
          <t>https://cambridgefoodies.me.uk/feed/</t>
        </is>
      </c>
      <c r="F38" s="21" t="inlineStr">
        <is>
          <t>https://cambridgefoodies.me.uk — 200 в первом проходе, WordPress, alternate RSS /feed/
https://cambridgefoodies.me.uk/feed/ — 200 через HTTP/2</t>
        </is>
      </c>
      <c r="G38" s="21" t="inlineStr">
        <is>
          <t>WordPress.com отвечает 429 при повторных запросах (и HTTP/1.1-клиенту httpx) — нужны HTTP/2, редкие запросы и бэк-офф</t>
        </is>
      </c>
    </row>
    <row r="39">
      <c r="A39" s="21" t="inlineStr">
        <is>
          <t>S089</t>
        </is>
      </c>
      <c r="B39" s="21" t="inlineStr">
        <is>
          <t>Town and Gown 10k</t>
        </is>
      </c>
      <c r="C39" s="23" t="inlineStr">
        <is>
          <t>проверить</t>
        </is>
      </c>
      <c r="D39" s="21" t="inlineStr">
        <is>
          <t>Через Cambridge News (S004) и Cambridge 105 (S005)</t>
        </is>
      </c>
      <c r="E39" s="21" t="inlineStr"/>
      <c r="F39" s="21" t="inlineStr"/>
      <c r="G39" s="21" t="inlineStr">
        <is>
          <t>townandgown10k.com и musculardystrophyuk.org — Cloudflare 403 для любого бот-клиента, включая robots.txt</t>
        </is>
      </c>
    </row>
    <row r="40">
      <c r="A40" s="21" t="inlineStr">
        <is>
          <t>S090</t>
        </is>
      </c>
      <c r="B40" s="21" t="inlineStr">
        <is>
          <t>DesignMyNight — Cambridge</t>
        </is>
      </c>
      <c r="C40" s="24" t="inlineStr">
        <is>
          <t>нет</t>
        </is>
      </c>
      <c r="D40" s="21" t="inlineStr">
        <is>
          <t>— (robots.txt запрещает)</t>
        </is>
      </c>
      <c r="E40" s="21" t="inlineStr">
        <is>
          <t>https://www.designmynight.com/cambridge</t>
        </is>
      </c>
      <c r="F40" s="21" t="inlineStr">
        <is>
          <t>https://www.designmynight.com/cambridge — 200</t>
        </is>
      </c>
      <c r="G40" s="21" t="inlineStr">
        <is>
          <t>robots.txt: Disallow: /cambridge/whats-on и Disallow: /api/ — раздел событий закрыт для роботов
разрешённые страницы /cambridge — каталог заведений, событий и JSON-LD Event нет</t>
        </is>
      </c>
    </row>
    <row r="41">
      <c r="A41" s="21" t="inlineStr">
        <is>
          <t>S091</t>
        </is>
      </c>
      <c r="B41" s="21" t="inlineStr">
        <is>
          <t>Cambridge Live Tickets</t>
        </is>
      </c>
      <c r="C41" s="22" t="inlineStr">
        <is>
          <t>да</t>
        </is>
      </c>
      <c r="D41" s="21" t="inlineStr">
        <is>
          <t>HTML + JSON-LD</t>
        </is>
      </c>
      <c r="E41" s="21" t="inlineStr">
        <is>
          <t>https://www.cambridgelivetickets.co.uk/events</t>
        </is>
      </c>
      <c r="F41" s="21" t="inlineStr">
        <is>
          <t>https://www.cambridgelivetickets.co.uk — 200
https://www.cambridgelivetickets.co.uk/events — 200
https://www.cambridgelivetickets.co.uk/events/georgie-carroll-nurse-georgie-carroll-infectious — 200; JSON-LD Event: 1</t>
        </is>
      </c>
      <c r="G41" s="21" t="inlineStr"/>
    </row>
    <row r="42">
      <c r="A42" s="21" t="inlineStr">
        <is>
          <t>S092</t>
        </is>
      </c>
      <c r="B42" s="21" t="inlineStr">
        <is>
          <t>Cambridge Independent — News/Business</t>
        </is>
      </c>
      <c r="C42" s="22" t="inlineStr">
        <is>
          <t>да</t>
        </is>
      </c>
      <c r="D42" s="21" t="inlineStr">
        <is>
          <t>RSS + извлечение Claude</t>
        </is>
      </c>
      <c r="E42" s="21" t="inlineStr">
        <is>
          <t>https://www.cambridgeindependent.co.uk/_api/rss/cambridge_independent_business_feed.xml (+ news_feed.xml)</t>
        </is>
      </c>
      <c r="F42" s="21" t="inlineStr">
        <is>
          <t>https://www.cambridgeindependent.co.uk/rss-feeds/ — 200
https://www.cambridgeindependent.co.uk/_api/rss/cambridge_independent_business_feed.xml — 200; фид, записей: 20
https://www.cambridgeindependent.co.uk/_api/rss/cambridge_independent_news_feed.xml — 200; фид, записей: 20</t>
        </is>
      </c>
      <c r="G42" s="21" t="inlineStr"/>
    </row>
    <row r="43">
      <c r="A43" s="21" t="inlineStr">
        <is>
          <t>S093</t>
        </is>
      </c>
      <c r="B43" s="21" t="inlineStr">
        <is>
          <t>Cambridge News — Food &amp; Drink, Shopping</t>
        </is>
      </c>
      <c r="C43" s="22" t="inlineStr">
        <is>
          <t>да</t>
        </is>
      </c>
      <c r="D43" s="21" t="inlineStr">
        <is>
          <t>RSS + извлечение Claude</t>
        </is>
      </c>
      <c r="E43" s="21" t="inlineStr">
        <is>
          <t>https://www.cambridge-news.co.uk/all-about/food-and-drink?service=rss (+ shopping)</t>
        </is>
      </c>
      <c r="F43" s="21" t="inlineStr">
        <is>
          <t>https://www.cambridge-news.co.uk/all-about/food-and-drink — 200; билетная система: ecal
https://www.cambridge-news.co.uk/all-about/food-and-drink?service=rss — 200; фид, записей: 4
https://www.cambridge-news.co.uk/all-about/shopping?service=rss — 200; фид, записей: 4</t>
        </is>
      </c>
      <c r="G43" s="21" t="inlineStr"/>
    </row>
    <row r="44">
      <c r="A44" s="21" t="inlineStr">
        <is>
          <t>S094</t>
        </is>
      </c>
      <c r="B44" s="21" t="inlineStr">
        <is>
          <t>Grand Arcade — магазины</t>
        </is>
      </c>
      <c r="C44" s="22" t="inlineStr">
        <is>
          <t>да</t>
        </is>
      </c>
      <c r="D44" s="21" t="inlineStr">
        <is>
          <t>HTML (список магазинов, сравнение)</t>
        </is>
      </c>
      <c r="E44" s="21" t="inlineStr">
        <is>
          <t>https://www.grandarcade.co.uk/stores/</t>
        </is>
      </c>
      <c r="F44" s="21" t="inlineStr">
        <is>
          <t>https://www.grandarcade.co.uk/ — 200; alternate-фиды: https://www.grandarcade.co.uk/wp-json/wp/v2/pages/91; WordPress
https://www.grandarcade.co.uk/stores/ — 200; alternate-фиды: https://www.grandarcade.co.uk/wp-json/wp/v2/pages/259; WordPress</t>
        </is>
      </c>
      <c r="G44" s="21" t="inlineStr"/>
    </row>
    <row r="45">
      <c r="A45" s="21" t="inlineStr">
        <is>
          <t>S095</t>
        </is>
      </c>
      <c r="B45" s="21" t="inlineStr">
        <is>
          <t>Lion Yard — магазины</t>
        </is>
      </c>
      <c r="C45" s="22" t="inlineStr">
        <is>
          <t>да</t>
        </is>
      </c>
      <c r="D45" s="21" t="inlineStr">
        <is>
          <t>HTML (список магазинов, сравнение)</t>
        </is>
      </c>
      <c r="E45" s="21" t="inlineStr">
        <is>
          <t>https://www.thelionyard.co.uk/stores/</t>
        </is>
      </c>
      <c r="F45" s="21" t="inlineStr">
        <is>
          <t>https://www.thelionyard.co.uk/ — 200; alternate-фиды: https://www.thelionyard.co.uk/wp-json/oembed/1.0/embed?url=https%3A%2F%2Fwww.thelionyard.co.uk%2F, https://www.thelionyard.co.uk/wp-json/wp/v2/pages/4; WordPress
https://www.thelionyard.co.uk/stores/ — 200; alternate-фиды: https://www.thelionyard.co.uk/./stores/feed/, https://www.thelionyard.co.uk/wp-json/wp/v2/categories/6; WordPress</t>
        </is>
      </c>
      <c r="G45" s="21" t="inlineStr"/>
    </row>
    <row r="46">
      <c r="A46" s="21" t="inlineStr">
        <is>
          <t>S096</t>
        </is>
      </c>
      <c r="B46" s="21" t="inlineStr">
        <is>
          <t>The Grafton — магазины</t>
        </is>
      </c>
      <c r="C46" s="22" t="inlineStr">
        <is>
          <t>да</t>
        </is>
      </c>
      <c r="D46" s="21" t="inlineStr">
        <is>
          <t>HTML (список магазинов, сравнение)</t>
        </is>
      </c>
      <c r="E46" s="21" t="inlineStr">
        <is>
          <t>https://graftoncentre.co.uk/stores/</t>
        </is>
      </c>
      <c r="F46" s="21" t="inlineStr">
        <is>
          <t>https://graftoncentre.co.uk/ — 200; alternate-фиды: https://graftoncentre.co.uk/feed/, https://graftoncentre.co.uk/comments/feed/, https://graftoncentre.co.uk/wp-json/oembed/1.0/embed?url=https%3A%2F%2Fgraftoncentre.co.uk%2F; WordPress
https://graftoncentre.co.uk/stores/ — 200; alternate-фиды: https://graftoncentre.co.uk/feed/, https://graftoncentre.co.uk/comments/feed/, https://graftoncentre.co.uk/wp-json/oembed/1.0/embed?url=https%3A%2F%2Fgraftoncentre.co.uk%2Fstores%2F; WordPress</t>
        </is>
      </c>
      <c r="G46" s="21" t="inlineStr"/>
    </row>
    <row r="47">
      <c r="A47" s="21" t="inlineStr">
        <is>
          <t>S097</t>
        </is>
      </c>
      <c r="B47" s="21" t="inlineStr">
        <is>
          <t>Cambridge BID — новости</t>
        </is>
      </c>
      <c r="C47" s="22" t="inlineStr">
        <is>
          <t>да</t>
        </is>
      </c>
      <c r="D47" s="21" t="inlineStr">
        <is>
          <t>RSS (без Claude до решения)</t>
        </is>
      </c>
      <c r="E47" s="21" t="inlineStr">
        <is>
          <t>https://www.cambridgebid.co.uk/news?format=rss</t>
        </is>
      </c>
      <c r="F47" s="21" t="inlineStr">
        <is>
          <t>https://www.cambridgebid.co.uk/news — 200; alternate-фиды: https://www.cambridgebid.co.uk/news?format=rss
https://www.cambridgebid.co.uk/news?format=rss — 200; фид, записей: 20</t>
        </is>
      </c>
      <c r="G47" s="21" t="inlineStr"/>
    </row>
  </sheetData>
  <autoFilter ref="A1:G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style="11" min="1" max="1"/>
    <col width="44" customWidth="1" style="11" min="2" max="2"/>
    <col width="22" customWidth="1" style="11" min="3" max="3"/>
    <col width="60" customWidth="1" style="11" min="4" max="4"/>
    <col width="36" customWidth="1" style="11" min="5" max="5"/>
  </cols>
  <sheetData>
    <row r="1">
      <c r="A1" s="20" t="inlineStr">
        <is>
          <t>ID</t>
        </is>
      </c>
      <c r="B1" s="20" t="inlineStr">
        <is>
          <t>Событие</t>
        </is>
      </c>
      <c r="C1" s="20" t="inlineStr">
        <is>
          <t>Когда</t>
        </is>
      </c>
      <c r="D1" s="20" t="inlineStr">
        <is>
          <t>Где искать</t>
        </is>
      </c>
      <c r="E1" s="20" t="inlineStr">
        <is>
          <t>Ключевые слова</t>
        </is>
      </c>
    </row>
    <row r="2">
      <c r="A2" s="21" t="inlineStr">
        <is>
          <t>C1</t>
        </is>
      </c>
      <c r="B2" s="21" t="inlineStr">
        <is>
          <t>Домашние матчи Cambridge United</t>
        </is>
      </c>
      <c r="C2" s="21" t="inlineStr">
        <is>
          <t>весь сезон</t>
        </is>
      </c>
      <c r="D2" s="21" t="inlineStr">
        <is>
          <t>S018 (fixtur.es), будущие домашние матчи</t>
        </is>
      </c>
      <c r="E2" s="21" t="inlineStr">
        <is>
          <t>Cambridge United</t>
        </is>
      </c>
    </row>
    <row r="3">
      <c r="A3" s="21" t="inlineStr">
        <is>
          <t>C2</t>
        </is>
      </c>
      <c r="B3" s="21" t="inlineStr">
        <is>
          <t>Mill Road Winter Fair</t>
        </is>
      </c>
      <c r="C3" s="21" t="inlineStr">
        <is>
          <t>2026-12-05</t>
        </is>
      </c>
      <c r="D3" s="21" t="inlineStr">
        <is>
          <t>S038 (сайт ярмарки), Cambridge 105, Cambridge News</t>
        </is>
      </c>
      <c r="E3" s="21" t="inlineStr">
        <is>
          <t>Mill Road Winter Fair, Winter Fair</t>
        </is>
      </c>
    </row>
    <row r="4">
      <c r="A4" s="21" t="inlineStr">
        <is>
          <t>C3</t>
        </is>
      </c>
      <c r="B4" s="21" t="inlineStr">
        <is>
          <t>Town and Gown 10k</t>
        </is>
      </c>
      <c r="C4" s="21" t="inlineStr">
        <is>
          <t>октябрь 2026</t>
        </is>
      </c>
      <c r="D4" s="21" t="inlineStr">
        <is>
          <t>через Cambridge News (S004) и Cambridge 105 (S005) — сайт закрыт для ботов</t>
        </is>
      </c>
      <c r="E4" s="21" t="inlineStr">
        <is>
          <t>Town and Gown 10, Town &amp; Gown 10, Bidwells Cambridge 10k, Cambridge 10k</t>
        </is>
      </c>
    </row>
    <row r="5">
      <c r="A5" s="21" t="inlineStr">
        <is>
          <t>C4</t>
        </is>
      </c>
      <c r="B5" s="21" t="inlineStr">
        <is>
          <t>Whittlesea Straw Bear Festival</t>
        </is>
      </c>
      <c r="C5" s="21" t="inlineStr">
        <is>
          <t>январь 2027</t>
        </is>
      </c>
      <c r="D5" s="21" t="inlineStr">
        <is>
          <t>Cambridge 105, Visit Cambridge, новости</t>
        </is>
      </c>
      <c r="E5" s="21" t="inlineStr">
        <is>
          <t>Straw Bear</t>
        </is>
      </c>
    </row>
    <row r="6">
      <c r="A6" s="21" t="inlineStr">
        <is>
          <t>C5</t>
        </is>
      </c>
      <c r="B6" s="21" t="inlineStr">
        <is>
          <t>Thriplow Daffodil Weekend</t>
        </is>
      </c>
      <c r="C6" s="21" t="inlineStr">
        <is>
          <t>март 2027</t>
        </is>
      </c>
      <c r="D6" s="21" t="inlineStr">
        <is>
          <t>Cambridge 105</t>
        </is>
      </c>
      <c r="E6" s="21" t="inlineStr">
        <is>
          <t>Thriplow, Daffodil Weekend</t>
        </is>
      </c>
    </row>
    <row r="7">
      <c r="A7" s="21" t="inlineStr">
        <is>
          <t>C6</t>
        </is>
      </c>
      <c r="B7" s="21" t="inlineStr">
        <is>
          <t>Публичные лекции talks.cam</t>
        </is>
      </c>
      <c r="C7" s="21" t="inlineStr">
        <is>
          <t>постоянно</t>
        </is>
      </c>
      <c r="D7" s="21" t="inlineStr">
        <is>
          <t>S047, списки Major Public Lectures, Darwin College и др.</t>
        </is>
      </c>
      <c r="E7" s="21" t="inlineStr">
        <is>
          <t>S047</t>
        </is>
      </c>
    </row>
    <row r="8">
      <c r="A8" s="21" t="inlineStr">
        <is>
          <t>C7</t>
        </is>
      </c>
      <c r="B8" s="21" t="inlineStr">
        <is>
          <t>Открытия на Mill Road: Catte Latte, Hungarian Soul</t>
        </is>
      </c>
      <c r="C8" s="21" t="inlineStr">
        <is>
          <t>уже прошли (архив)</t>
        </is>
      </c>
      <c r="D8" s="21" t="inlineStr">
        <is>
          <t>Cambridge Foodies — поток «новое в городе»</t>
        </is>
      </c>
      <c r="E8" s="21" t="inlineStr">
        <is>
          <t>Catte Latte, Hungarian Soul</t>
        </is>
      </c>
    </row>
    <row r="9">
      <c r="A9" s="21" t="inlineStr">
        <is>
          <t>C8</t>
        </is>
      </c>
      <c r="B9" s="21" t="inlineStr">
        <is>
          <t>Cambridge Oktoberfest, Jesus Green</t>
        </is>
      </c>
      <c r="C9" s="21" t="inlineStr">
        <is>
          <t>2026-09-25 – 2026-09-26</t>
        </is>
      </c>
      <c r="D9" s="21" t="inlineStr">
        <is>
          <t>Eventbrite / Skiddle / Ents24 / Cambridge 105 / новости, если ещё видно</t>
        </is>
      </c>
      <c r="E9" s="21" t="inlineStr">
        <is>
          <t>Oktoberfest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" min="1" max="1"/>
    <col width="18" customWidth="1" style="10" min="2" max="5"/>
  </cols>
  <sheetData>
    <row r="1" ht="15" customHeight="1" s="11">
      <c r="A1" s="25" t="inlineStr">
        <is>
          <t>Категория</t>
        </is>
      </c>
      <c r="B1" s="25" t="inlineStr">
        <is>
          <t>Всего источников</t>
        </is>
      </c>
      <c r="C1" s="25" t="inlineStr">
        <is>
          <t>Приоритет 1</t>
        </is>
      </c>
      <c r="D1" s="25" t="inlineStr">
        <is>
          <t>URL проверен</t>
        </is>
      </c>
      <c r="E1" s="25" t="inlineStr">
        <is>
          <t>Осталось проверить</t>
        </is>
      </c>
    </row>
    <row r="2" ht="15" customHeight="1" s="11">
      <c r="A2" s="26" t="inlineStr">
        <is>
          <t>Сквозные агрегаторы</t>
        </is>
      </c>
      <c r="B2" s="26">
        <f>COUNTIF(Источники!$B$2:$B$500,A2)</f>
        <v/>
      </c>
      <c r="C2" s="26">
        <f>COUNTIFS(Источники!$B$2:$B$500,A2,Источники!$J$2:$J$500,1)</f>
        <v/>
      </c>
      <c r="D2" s="26">
        <f>COUNTIFS(Источники!$B$2:$B$500,A2,Источники!$K$2:$K$500,"да")</f>
        <v/>
      </c>
      <c r="E2" s="26">
        <f>B2-D2</f>
        <v/>
      </c>
    </row>
    <row r="3" ht="15" customHeight="1" s="11">
      <c r="A3" s="26" t="inlineStr">
        <is>
          <t>Концерты</t>
        </is>
      </c>
      <c r="B3" s="26">
        <f>COUNTIF(Источники!$B$2:$B$500,A3)</f>
        <v/>
      </c>
      <c r="C3" s="26">
        <f>COUNTIFS(Источники!$B$2:$B$500,A3,Источники!$J$2:$J$500,1)</f>
        <v/>
      </c>
      <c r="D3" s="26">
        <f>COUNTIFS(Источники!$B$2:$B$500,A3,Источники!$K$2:$K$500,"да")</f>
        <v/>
      </c>
      <c r="E3" s="26">
        <f>B3-D3</f>
        <v/>
      </c>
    </row>
    <row r="4" ht="15" customHeight="1" s="11">
      <c r="A4" s="26" t="inlineStr">
        <is>
          <t>Спорт — смотреть</t>
        </is>
      </c>
      <c r="B4" s="26">
        <f>COUNTIF(Источники!$B$2:$B$500,A4)</f>
        <v/>
      </c>
      <c r="C4" s="26">
        <f>COUNTIFS(Источники!$B$2:$B$500,A4,Источники!$J$2:$J$500,1)</f>
        <v/>
      </c>
      <c r="D4" s="26">
        <f>COUNTIFS(Источники!$B$2:$B$500,A4,Источники!$K$2:$K$500,"да")</f>
        <v/>
      </c>
      <c r="E4" s="26">
        <f>B4-D4</f>
        <v/>
      </c>
    </row>
    <row r="5" ht="15" customHeight="1" s="11">
      <c r="A5" s="26" t="inlineStr">
        <is>
          <t>Спорт — участвовать</t>
        </is>
      </c>
      <c r="B5" s="26">
        <f>COUNTIF(Источники!$B$2:$B$500,A5)</f>
        <v/>
      </c>
      <c r="C5" s="26">
        <f>COUNTIFS(Источники!$B$2:$B$500,A5,Источники!$J$2:$J$500,1)</f>
        <v/>
      </c>
      <c r="D5" s="26">
        <f>COUNTIFS(Источники!$B$2:$B$500,A5,Источники!$K$2:$K$500,"да")</f>
        <v/>
      </c>
      <c r="E5" s="26">
        <f>B5-D5</f>
        <v/>
      </c>
    </row>
    <row r="6" ht="15" customHeight="1" s="11">
      <c r="A6" s="26" t="inlineStr">
        <is>
          <t>Фестивали</t>
        </is>
      </c>
      <c r="B6" s="26">
        <f>COUNTIF(Источники!$B$2:$B$500,A6)</f>
        <v/>
      </c>
      <c r="C6" s="26">
        <f>COUNTIFS(Источники!$B$2:$B$500,A6,Источники!$J$2:$J$500,1)</f>
        <v/>
      </c>
      <c r="D6" s="26">
        <f>COUNTIFS(Источники!$B$2:$B$500,A6,Источники!$K$2:$K$500,"да")</f>
        <v/>
      </c>
      <c r="E6" s="26">
        <f>B6-D6</f>
        <v/>
      </c>
    </row>
    <row r="7" ht="15" customHeight="1" s="11">
      <c r="A7" s="26" t="inlineStr">
        <is>
          <t>Ярмарки</t>
        </is>
      </c>
      <c r="B7" s="26">
        <f>COUNTIF(Источники!$B$2:$B$500,A7)</f>
        <v/>
      </c>
      <c r="C7" s="26">
        <f>COUNTIFS(Источники!$B$2:$B$500,A7,Источники!$J$2:$J$500,1)</f>
        <v/>
      </c>
      <c r="D7" s="26">
        <f>COUNTIFS(Источники!$B$2:$B$500,A7,Источники!$K$2:$K$500,"да")</f>
        <v/>
      </c>
      <c r="E7" s="26">
        <f>B7-D7</f>
        <v/>
      </c>
    </row>
    <row r="8" ht="15" customHeight="1" s="11">
      <c r="A8" s="26" t="inlineStr">
        <is>
          <t>Театр</t>
        </is>
      </c>
      <c r="B8" s="26">
        <f>COUNTIF(Источники!$B$2:$B$500,A8)</f>
        <v/>
      </c>
      <c r="C8" s="26">
        <f>COUNTIFS(Источники!$B$2:$B$500,A8,Источники!$J$2:$J$500,1)</f>
        <v/>
      </c>
      <c r="D8" s="26">
        <f>COUNTIFS(Источники!$B$2:$B$500,A8,Источники!$K$2:$K$500,"да")</f>
        <v/>
      </c>
      <c r="E8" s="26">
        <f>B8-D8</f>
        <v/>
      </c>
    </row>
    <row r="9" ht="15" customHeight="1" s="11">
      <c r="A9" s="26" t="inlineStr">
        <is>
          <t>Кино</t>
        </is>
      </c>
      <c r="B9" s="26">
        <f>COUNTIF(Источники!$B$2:$B$500,A9)</f>
        <v/>
      </c>
      <c r="C9" s="26">
        <f>COUNTIFS(Источники!$B$2:$B$500,A9,Источники!$J$2:$J$500,1)</f>
        <v/>
      </c>
      <c r="D9" s="26">
        <f>COUNTIFS(Источники!$B$2:$B$500,A9,Источники!$K$2:$K$500,"да")</f>
        <v/>
      </c>
      <c r="E9" s="26">
        <f>B9-D9</f>
        <v/>
      </c>
    </row>
    <row r="10" ht="15" customHeight="1" s="11">
      <c r="A10" s="26" t="inlineStr">
        <is>
          <t>Лекции</t>
        </is>
      </c>
      <c r="B10" s="26">
        <f>COUNTIF(Источники!$B$2:$B$500,A10)</f>
        <v/>
      </c>
      <c r="C10" s="26">
        <f>COUNTIFS(Источники!$B$2:$B$500,A10,Источники!$J$2:$J$500,1)</f>
        <v/>
      </c>
      <c r="D10" s="26">
        <f>COUNTIFS(Источники!$B$2:$B$500,A10,Источники!$K$2:$K$500,"да")</f>
        <v/>
      </c>
      <c r="E10" s="26">
        <f>B10-D10</f>
        <v/>
      </c>
    </row>
    <row r="11" ht="15" customHeight="1" s="11">
      <c r="A11" s="26" t="inlineStr">
        <is>
          <t>Выставки и музеи</t>
        </is>
      </c>
      <c r="B11" s="26">
        <f>COUNTIF(Источники!$B$2:$B$500,A11)</f>
        <v/>
      </c>
      <c r="C11" s="26">
        <f>COUNTIFS(Источники!$B$2:$B$500,A11,Источники!$J$2:$J$500,1)</f>
        <v/>
      </c>
      <c r="D11" s="26">
        <f>COUNTIFS(Источники!$B$2:$B$500,A11,Источники!$K$2:$K$500,"да")</f>
        <v/>
      </c>
      <c r="E11" s="26">
        <f>B11-D11</f>
        <v/>
      </c>
    </row>
    <row r="12" ht="15" customHeight="1" s="11">
      <c r="A12" s="26" t="inlineStr">
        <is>
          <t>Детям и семьям</t>
        </is>
      </c>
      <c r="B12" s="26">
        <f>COUNTIF(Источники!$B$2:$B$500,A12)</f>
        <v/>
      </c>
      <c r="C12" s="26">
        <f>COUNTIFS(Источники!$B$2:$B$500,A12,Источники!$J$2:$J$500,1)</f>
        <v/>
      </c>
      <c r="D12" s="26">
        <f>COUNTIFS(Источники!$B$2:$B$500,A12,Источники!$K$2:$K$500,"да")</f>
        <v/>
      </c>
      <c r="E12" s="26">
        <f>B12-D12</f>
        <v/>
      </c>
    </row>
    <row r="13" ht="15" customHeight="1" s="11">
      <c r="A13" s="26" t="inlineStr">
        <is>
          <t>Еда и напитки</t>
        </is>
      </c>
      <c r="B13" s="26">
        <f>COUNTIF(Источники!$B$2:$B$500,A13)</f>
        <v/>
      </c>
      <c r="C13" s="26">
        <f>COUNTIFS(Источники!$B$2:$B$500,A13,Источники!$J$2:$J$500,1)</f>
        <v/>
      </c>
      <c r="D13" s="26">
        <f>COUNTIFS(Источники!$B$2:$B$500,A13,Источники!$K$2:$K$500,"да")</f>
        <v/>
      </c>
      <c r="E13" s="26">
        <f>B13-D13</f>
        <v/>
      </c>
    </row>
    <row r="14" ht="15" customHeight="1" s="11">
      <c r="A14" s="26" t="inlineStr">
        <is>
          <t>Рынки и барахолки</t>
        </is>
      </c>
      <c r="B14" s="26">
        <f>COUNTIF(Источники!$B$2:$B$500,A14)</f>
        <v/>
      </c>
      <c r="C14" s="26">
        <f>COUNTIFS(Источники!$B$2:$B$500,A14,Источники!$J$2:$J$500,1)</f>
        <v/>
      </c>
      <c r="D14" s="26">
        <f>COUNTIFS(Источники!$B$2:$B$500,A14,Источники!$K$2:$K$500,"да")</f>
        <v/>
      </c>
      <c r="E14" s="26">
        <f>B14-D14</f>
        <v/>
      </c>
    </row>
    <row r="15" ht="15" customHeight="1" s="11">
      <c r="A15" s="26" t="inlineStr">
        <is>
          <t>Комедия и стендап</t>
        </is>
      </c>
      <c r="B15" s="26">
        <f>COUNTIF(Источники!$B$2:$B$500,A15)</f>
        <v/>
      </c>
      <c r="C15" s="26">
        <f>COUNTIFS(Источники!$B$2:$B$500,A15,Источники!$J$2:$J$500,1)</f>
        <v/>
      </c>
      <c r="D15" s="26">
        <f>COUNTIFS(Источники!$B$2:$B$500,A15,Источники!$K$2:$K$500,"да")</f>
        <v/>
      </c>
      <c r="E15" s="26">
        <f>B15-D15</f>
        <v/>
      </c>
    </row>
    <row r="16" ht="15" customHeight="1" s="11">
      <c r="A16" s="26" t="inlineStr">
        <is>
          <t>Ночная жизнь</t>
        </is>
      </c>
      <c r="B16" s="26">
        <f>COUNTIF(Источники!$B$2:$B$500,A16)</f>
        <v/>
      </c>
      <c r="C16" s="26">
        <f>COUNTIFS(Источники!$B$2:$B$500,A16,Источники!$J$2:$J$500,1)</f>
        <v/>
      </c>
      <c r="D16" s="26">
        <f>COUNTIFS(Источники!$B$2:$B$500,A16,Источники!$K$2:$K$500,"да")</f>
        <v/>
      </c>
      <c r="E16" s="26">
        <f>B16-D16</f>
        <v/>
      </c>
    </row>
    <row r="17" ht="15" customHeight="1" s="11">
      <c r="A17" s="26" t="inlineStr">
        <is>
          <t>Открытые двери и экскурсии</t>
        </is>
      </c>
      <c r="B17" s="26">
        <f>COUNTIF(Источники!$B$2:$B$500,A17)</f>
        <v/>
      </c>
      <c r="C17" s="26">
        <f>COUNTIFS(Источники!$B$2:$B$500,A17,Источники!$J$2:$J$500,1)</f>
        <v/>
      </c>
      <c r="D17" s="26">
        <f>COUNTIFS(Источники!$B$2:$B$500,A17,Источники!$K$2:$K$500,"да")</f>
        <v/>
      </c>
      <c r="E17" s="26">
        <f>B17-D17</f>
        <v/>
      </c>
    </row>
    <row r="18" ht="15" customHeight="1" s="11">
      <c r="A18" s="26" t="inlineStr">
        <is>
          <t>Природа и загородные поездки</t>
        </is>
      </c>
      <c r="B18" s="26">
        <f>COUNTIF(Источники!$B$2:$B$500,A18)</f>
        <v/>
      </c>
      <c r="C18" s="26">
        <f>COUNTIFS(Источники!$B$2:$B$500,A18,Источники!$J$2:$J$500,1)</f>
        <v/>
      </c>
      <c r="D18" s="26">
        <f>COUNTIFS(Источники!$B$2:$B$500,A18,Источники!$K$2:$K$500,"да")</f>
        <v/>
      </c>
      <c r="E18" s="26">
        <f>B18-D18</f>
        <v/>
      </c>
    </row>
    <row r="19" ht="15" customHeight="1" s="11">
      <c r="A19" s="26" t="inlineStr">
        <is>
          <t>Праздники и сезонное</t>
        </is>
      </c>
      <c r="B19" s="26">
        <f>COUNTIF(Источники!$B$2:$B$500,A19)</f>
        <v/>
      </c>
      <c r="C19" s="26">
        <f>COUNTIFS(Источники!$B$2:$B$500,A19,Источники!$J$2:$J$500,1)</f>
        <v/>
      </c>
      <c r="D19" s="26">
        <f>COUNTIFS(Источники!$B$2:$B$500,A19,Источники!$K$2:$K$500,"да")</f>
        <v/>
      </c>
      <c r="E19" s="26">
        <f>B19-D19</f>
        <v/>
      </c>
    </row>
    <row r="20" ht="15" customHeight="1" s="11">
      <c r="A20" s="26" t="inlineStr">
        <is>
          <t>Воркшопы и курсы</t>
        </is>
      </c>
      <c r="B20" s="26">
        <f>COUNTIF(Источники!$B$2:$B$500,A20)</f>
        <v/>
      </c>
      <c r="C20" s="26">
        <f>COUNTIFS(Источники!$B$2:$B$500,A20,Источники!$J$2:$J$500,1)</f>
        <v/>
      </c>
      <c r="D20" s="26">
        <f>COUNTIFS(Источники!$B$2:$B$500,A20,Источники!$K$2:$K$500,"да")</f>
        <v/>
      </c>
      <c r="E20" s="26">
        <f>B20-D20</f>
        <v/>
      </c>
    </row>
    <row r="21" ht="15" customHeight="1" s="11">
      <c r="A21" s="26" t="inlineStr">
        <is>
          <t>Сообщества и благотворительность</t>
        </is>
      </c>
      <c r="B21" s="26">
        <f>COUNTIF(Источники!$B$2:$B$500,A21)</f>
        <v/>
      </c>
      <c r="C21" s="26">
        <f>COUNTIFS(Источники!$B$2:$B$500,A21,Источники!$J$2:$J$500,1)</f>
        <v/>
      </c>
      <c r="D21" s="26">
        <f>COUNTIFS(Источники!$B$2:$B$500,A21,Источники!$K$2:$K$500,"да")</f>
        <v/>
      </c>
      <c r="E21" s="26">
        <f>B21-D21</f>
        <v/>
      </c>
    </row>
    <row r="22" ht="15" customHeight="1" s="11">
      <c r="A22" s="26" t="inlineStr">
        <is>
          <t>Практическое</t>
        </is>
      </c>
      <c r="B22" s="26">
        <f>COUNTIF(Источники!$B$2:$B$500,A22)</f>
        <v/>
      </c>
      <c r="C22" s="26">
        <f>COUNTIFS(Источники!$B$2:$B$500,A22,Источники!$J$2:$J$500,1)</f>
        <v/>
      </c>
      <c r="D22" s="26">
        <f>COUNTIFS(Источники!$B$2:$B$500,A22,Источники!$K$2:$K$500,"да")</f>
        <v/>
      </c>
      <c r="E22" s="26">
        <f>B22-D22</f>
        <v/>
      </c>
    </row>
    <row r="23" ht="15" customHeight="1" s="11">
      <c r="A23" s="27" t="inlineStr">
        <is>
          <t>Итого</t>
        </is>
      </c>
      <c r="B23" s="27">
        <f>SUM(B2:B22)</f>
        <v/>
      </c>
      <c r="C23" s="27">
        <f>SUM(C2:C22)</f>
        <v/>
      </c>
      <c r="D23" s="27">
        <f>SUM(D2:D22)</f>
        <v/>
      </c>
      <c r="E23" s="27">
        <f>SUM(E2:E22)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" min="1" max="1"/>
    <col width="18" customWidth="1" style="10" min="2" max="2"/>
    <col width="16" customWidth="1" style="10" min="3" max="3"/>
    <col width="34" customWidth="1" style="10" min="4" max="4"/>
    <col width="52" customWidth="1" style="10" min="5" max="5"/>
  </cols>
  <sheetData>
    <row r="1" ht="15" customHeight="1" s="11">
      <c r="A1" s="25" t="inlineStr">
        <is>
          <t>Поле</t>
        </is>
      </c>
      <c r="B1" s="25" t="inlineStr">
        <is>
          <t>Тип</t>
        </is>
      </c>
      <c r="C1" s="25" t="inlineStr">
        <is>
          <t>Обязательное</t>
        </is>
      </c>
      <c r="D1" s="25" t="inlineStr">
        <is>
          <t>Пример</t>
        </is>
      </c>
      <c r="E1" s="25" t="inlineStr">
        <is>
          <t>Комментарий</t>
        </is>
      </c>
    </row>
    <row r="2" ht="15" customHeight="1" s="11">
      <c r="A2" s="28" t="inlineStr">
        <is>
          <t>event_id</t>
        </is>
      </c>
      <c r="B2" s="28" t="inlineStr">
        <is>
          <t>текст</t>
        </is>
      </c>
      <c r="C2" s="28" t="inlineStr">
        <is>
          <t>да</t>
        </is>
      </c>
      <c r="D2" s="28" t="inlineStr">
        <is>
          <t>EV-2026-000123</t>
        </is>
      </c>
      <c r="E2" s="28" t="inlineStr">
        <is>
          <t>Внутренний ID</t>
        </is>
      </c>
    </row>
    <row r="3" ht="15" customHeight="1" s="11">
      <c r="A3" s="28" t="inlineStr">
        <is>
          <t>title</t>
        </is>
      </c>
      <c r="B3" s="28" t="inlineStr">
        <is>
          <t>текст</t>
        </is>
      </c>
      <c r="C3" s="28" t="inlineStr">
        <is>
          <t>да</t>
        </is>
      </c>
      <c r="D3" s="28" t="inlineStr">
        <is>
          <t>Cambridge United vs AFC Wimbledon</t>
        </is>
      </c>
      <c r="E3" s="28" t="n"/>
    </row>
    <row r="4" ht="15" customHeight="1" s="11">
      <c r="A4" s="28" t="inlineStr">
        <is>
          <t>category</t>
        </is>
      </c>
      <c r="B4" s="28" t="inlineStr">
        <is>
          <t>список</t>
        </is>
      </c>
      <c r="C4" s="28" t="inlineStr">
        <is>
          <t>да</t>
        </is>
      </c>
      <c r="D4" s="28" t="inlineStr">
        <is>
          <t>Спорт — смотреть</t>
        </is>
      </c>
      <c r="E4" s="28" t="inlineStr">
        <is>
          <t>Из листа «Категории и теги»</t>
        </is>
      </c>
    </row>
    <row r="5" ht="15" customHeight="1" s="11">
      <c r="A5" s="28" t="inlineStr">
        <is>
          <t>date_start</t>
        </is>
      </c>
      <c r="B5" s="28" t="inlineStr">
        <is>
          <t>дата</t>
        </is>
      </c>
      <c r="C5" s="28" t="inlineStr">
        <is>
          <t>да</t>
        </is>
      </c>
      <c r="D5" s="28" t="inlineStr">
        <is>
          <t>2026-09-26</t>
        </is>
      </c>
      <c r="E5" s="28" t="n"/>
    </row>
    <row r="6" ht="15" customHeight="1" s="11">
      <c r="A6" s="28" t="inlineStr">
        <is>
          <t>time_start</t>
        </is>
      </c>
      <c r="B6" s="28" t="inlineStr">
        <is>
          <t>время</t>
        </is>
      </c>
      <c r="C6" s="28" t="inlineStr">
        <is>
          <t>да, если известно</t>
        </is>
      </c>
      <c r="D6" s="28" t="inlineStr">
        <is>
          <t>15:00</t>
        </is>
      </c>
      <c r="E6" s="28" t="inlineStr">
        <is>
          <t>Пусто = весь день</t>
        </is>
      </c>
    </row>
    <row r="7" ht="15" customHeight="1" s="11">
      <c r="A7" s="28" t="inlineStr">
        <is>
          <t>date_end</t>
        </is>
      </c>
      <c r="B7" s="28" t="inlineStr">
        <is>
          <t>дата</t>
        </is>
      </c>
      <c r="C7" s="28" t="inlineStr">
        <is>
          <t>нет</t>
        </is>
      </c>
      <c r="D7" s="28" t="inlineStr">
        <is>
          <t>2026-09-26</t>
        </is>
      </c>
      <c r="E7" s="28" t="inlineStr">
        <is>
          <t>Для многодневных</t>
        </is>
      </c>
    </row>
    <row r="8" ht="15" customHeight="1" s="11">
      <c r="A8" s="28" t="inlineStr">
        <is>
          <t>time_end</t>
        </is>
      </c>
      <c r="B8" s="28" t="inlineStr">
        <is>
          <t>время</t>
        </is>
      </c>
      <c r="C8" s="28" t="inlineStr">
        <is>
          <t>нет</t>
        </is>
      </c>
      <c r="D8" s="28" t="inlineStr">
        <is>
          <t>17:00</t>
        </is>
      </c>
      <c r="E8" s="28" t="n"/>
    </row>
    <row r="9" ht="15" customHeight="1" s="11">
      <c r="A9" s="28" t="inlineStr">
        <is>
          <t>venue_name</t>
        </is>
      </c>
      <c r="B9" s="28" t="inlineStr">
        <is>
          <t>текст</t>
        </is>
      </c>
      <c r="C9" s="28" t="inlineStr">
        <is>
          <t>да</t>
        </is>
      </c>
      <c r="D9" s="28" t="inlineStr">
        <is>
          <t>Abbey Stadium</t>
        </is>
      </c>
      <c r="E9" s="28" t="n"/>
    </row>
    <row r="10" ht="15" customHeight="1" s="11">
      <c r="A10" s="28" t="inlineStr">
        <is>
          <t>address</t>
        </is>
      </c>
      <c r="B10" s="28" t="inlineStr">
        <is>
          <t>текст</t>
        </is>
      </c>
      <c r="C10" s="28" t="inlineStr">
        <is>
          <t>да</t>
        </is>
      </c>
      <c r="D10" s="28" t="inlineStr">
        <is>
          <t>Newmarket Road, Cambridge</t>
        </is>
      </c>
      <c r="E10" s="28" t="inlineStr">
        <is>
          <t>Точный адрес</t>
        </is>
      </c>
    </row>
    <row r="11" ht="15" customHeight="1" s="11">
      <c r="A11" s="28" t="inlineStr">
        <is>
          <t>postcode</t>
        </is>
      </c>
      <c r="B11" s="28" t="inlineStr">
        <is>
          <t>текст</t>
        </is>
      </c>
      <c r="C11" s="28" t="inlineStr">
        <is>
          <t>да</t>
        </is>
      </c>
      <c r="D11" s="28" t="inlineStr">
        <is>
          <t>(заполнять из источника)</t>
        </is>
      </c>
      <c r="E11" s="28" t="inlineStr">
        <is>
          <t>Для карты и расчёта зоны</t>
        </is>
      </c>
    </row>
    <row r="12" ht="15" customHeight="1" s="11">
      <c r="A12" s="28" t="inlineStr">
        <is>
          <t>lat / lon</t>
        </is>
      </c>
      <c r="B12" s="28" t="inlineStr">
        <is>
          <t>число</t>
        </is>
      </c>
      <c r="C12" s="28" t="inlineStr">
        <is>
          <t>нет</t>
        </is>
      </c>
      <c r="D12" s="28" t="inlineStr">
        <is>
          <t>52.21, 0.15</t>
        </is>
      </c>
      <c r="E12" s="28" t="inlineStr">
        <is>
          <t>Геокодирование по postcode</t>
        </is>
      </c>
    </row>
    <row r="13" ht="15" customHeight="1" s="11">
      <c r="A13" s="28" t="inlineStr">
        <is>
          <t>zone</t>
        </is>
      </c>
      <c r="B13" s="28" t="inlineStr">
        <is>
          <t>список</t>
        </is>
      </c>
      <c r="C13" s="28" t="inlineStr">
        <is>
          <t>да</t>
        </is>
      </c>
      <c r="D13" s="28" t="inlineStr">
        <is>
          <t>Центр</t>
        </is>
      </c>
      <c r="E13" s="28" t="inlineStr">
        <is>
          <t>Тег: Центр / до 30 мин / до часа — считается автоматически</t>
        </is>
      </c>
    </row>
    <row r="14" ht="15" customHeight="1" s="11">
      <c r="A14" s="28" t="inlineStr">
        <is>
          <t>price_from</t>
        </is>
      </c>
      <c r="B14" s="28" t="inlineStr">
        <is>
          <t>число, £</t>
        </is>
      </c>
      <c r="C14" s="28" t="inlineStr">
        <is>
          <t>нет</t>
        </is>
      </c>
      <c r="D14" s="28" t="inlineStr">
        <is>
          <t>0</t>
        </is>
      </c>
      <c r="E14" s="28" t="inlineStr">
        <is>
          <t>0 = бесплатно</t>
        </is>
      </c>
    </row>
    <row r="15" ht="15" customHeight="1" s="11">
      <c r="A15" s="28" t="inlineStr">
        <is>
          <t>price_tag</t>
        </is>
      </c>
      <c r="B15" s="28" t="inlineStr">
        <is>
          <t>список</t>
        </is>
      </c>
      <c r="C15" s="28" t="inlineStr">
        <is>
          <t>да</t>
        </is>
      </c>
      <c r="D15" s="28" t="inlineStr">
        <is>
          <t>бесплатно / до £10 / дороже</t>
        </is>
      </c>
      <c r="E15" s="28" t="n"/>
    </row>
    <row r="16" ht="15" customHeight="1" s="11">
      <c r="A16" s="28" t="inlineStr">
        <is>
          <t>audience</t>
        </is>
      </c>
      <c r="B16" s="28" t="inlineStr">
        <is>
          <t>список (несколько)</t>
        </is>
      </c>
      <c r="C16" s="28" t="inlineStr">
        <is>
          <t>нет</t>
        </is>
      </c>
      <c r="D16" s="28" t="inlineStr">
        <is>
          <t>дети 5–12; семьи</t>
        </is>
      </c>
      <c r="E16" s="28" t="n"/>
    </row>
    <row r="17" ht="23.85" customHeight="1" s="11">
      <c r="A17" s="28" t="inlineStr">
        <is>
          <t>booking</t>
        </is>
      </c>
      <c r="B17" s="28" t="inlineStr">
        <is>
          <t>список</t>
        </is>
      </c>
      <c r="C17" s="28" t="inlineStr">
        <is>
          <t>да</t>
        </is>
      </c>
      <c r="D17" s="28" t="inlineStr">
        <is>
          <t>без билетов / бронировать / продажа скоро</t>
        </is>
      </c>
      <c r="E17" s="28" t="n"/>
    </row>
    <row r="18" ht="15" customHeight="1" s="11">
      <c r="A18" s="28" t="inlineStr">
        <is>
          <t>status</t>
        </is>
      </c>
      <c r="B18" s="28" t="inlineStr">
        <is>
          <t>список</t>
        </is>
      </c>
      <c r="C18" s="28" t="inlineStr">
        <is>
          <t>да</t>
        </is>
      </c>
      <c r="D18" s="28" t="inlineStr">
        <is>
          <t>по плану</t>
        </is>
      </c>
      <c r="E18" s="28" t="inlineStr">
        <is>
          <t>по плану / перенесено / отменено / sold out</t>
        </is>
      </c>
    </row>
    <row r="19" ht="15" customHeight="1" s="11">
      <c r="A19" s="28" t="inlineStr">
        <is>
          <t>ticket_url</t>
        </is>
      </c>
      <c r="B19" s="28" t="inlineStr">
        <is>
          <t>URL</t>
        </is>
      </c>
      <c r="C19" s="28" t="inlineStr">
        <is>
          <t>нет</t>
        </is>
      </c>
      <c r="D19" s="28" t="n"/>
      <c r="E19" s="28" t="inlineStr">
        <is>
          <t>Здесь партнёрская ссылка, если есть</t>
        </is>
      </c>
    </row>
    <row r="20" ht="15" customHeight="1" s="11">
      <c r="A20" s="28" t="inlineStr">
        <is>
          <t>source_id</t>
        </is>
      </c>
      <c r="B20" s="28" t="inlineStr">
        <is>
          <t>ссылка</t>
        </is>
      </c>
      <c r="C20" s="28" t="inlineStr">
        <is>
          <t>да</t>
        </is>
      </c>
      <c r="D20" s="28" t="inlineStr">
        <is>
          <t>S018</t>
        </is>
      </c>
      <c r="E20" s="28" t="inlineStr">
        <is>
          <t>ID из листа «Источники»</t>
        </is>
      </c>
    </row>
    <row r="21" ht="15" customHeight="1" s="11">
      <c r="A21" s="28" t="inlineStr">
        <is>
          <t>source_url</t>
        </is>
      </c>
      <c r="B21" s="28" t="inlineStr">
        <is>
          <t>URL</t>
        </is>
      </c>
      <c r="C21" s="28" t="inlineStr">
        <is>
          <t>да</t>
        </is>
      </c>
      <c r="D21" s="28" t="n"/>
      <c r="E21" s="28" t="inlineStr">
        <is>
          <t>Страница события у первоисточника</t>
        </is>
      </c>
    </row>
    <row r="22" ht="15" customHeight="1" s="11">
      <c r="A22" s="28" t="inlineStr">
        <is>
          <t>description_short</t>
        </is>
      </c>
      <c r="B22" s="28" t="inlineStr">
        <is>
          <t>текст</t>
        </is>
      </c>
      <c r="C22" s="28" t="inlineStr">
        <is>
          <t>да</t>
        </is>
      </c>
      <c r="D22" s="28" t="n"/>
      <c r="E22" s="28" t="inlineStr">
        <is>
          <t>2–3 предложения своими словами (не копировать)</t>
        </is>
      </c>
    </row>
    <row r="23" ht="15" customHeight="1" s="11">
      <c r="A23" s="28" t="inlineStr">
        <is>
          <t>score</t>
        </is>
      </c>
      <c r="B23" s="28" t="inlineStr">
        <is>
          <t>число 1–10</t>
        </is>
      </c>
      <c r="C23" s="28" t="inlineStr">
        <is>
          <t>нет</t>
        </is>
      </c>
      <c r="D23" s="28" t="inlineStr">
        <is>
          <t>8</t>
        </is>
      </c>
      <c r="E23" s="28" t="inlineStr">
        <is>
          <t>Оценка LLM «стоит ли внимания»</t>
        </is>
      </c>
    </row>
    <row r="24" ht="15" customHeight="1" s="11">
      <c r="A24" s="28" t="inlineStr">
        <is>
          <t>last_checked</t>
        </is>
      </c>
      <c r="B24" s="28" t="inlineStr">
        <is>
          <t>дата-время</t>
        </is>
      </c>
      <c r="C24" s="28" t="inlineStr">
        <is>
          <t>да</t>
        </is>
      </c>
      <c r="D24" s="28" t="n"/>
      <c r="E24" s="28" t="inlineStr">
        <is>
          <t>Когда контур отмен последний раз проверял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0" min="1" max="1"/>
    <col width="36" customWidth="1" style="10" min="2" max="2"/>
  </cols>
  <sheetData>
    <row r="1" ht="15" customHeight="1" s="11">
      <c r="A1" s="25" t="inlineStr">
        <is>
          <t>Ось</t>
        </is>
      </c>
      <c r="B1" s="25" t="inlineStr">
        <is>
          <t>Значение</t>
        </is>
      </c>
    </row>
    <row r="2" ht="15" customHeight="1" s="11">
      <c r="A2" s="26" t="inlineStr">
        <is>
          <t>Категория</t>
        </is>
      </c>
      <c r="B2" s="26" t="inlineStr">
        <is>
          <t>Концерты</t>
        </is>
      </c>
    </row>
    <row r="3" ht="15" customHeight="1" s="11">
      <c r="A3" s="26" t="inlineStr">
        <is>
          <t>Категория</t>
        </is>
      </c>
      <c r="B3" s="26" t="inlineStr">
        <is>
          <t>Спорт — смотреть</t>
        </is>
      </c>
    </row>
    <row r="4" ht="15" customHeight="1" s="11">
      <c r="A4" s="26" t="inlineStr">
        <is>
          <t>Категория</t>
        </is>
      </c>
      <c r="B4" s="26" t="inlineStr">
        <is>
          <t>Спорт — участвовать</t>
        </is>
      </c>
    </row>
    <row r="5" ht="15" customHeight="1" s="11">
      <c r="A5" s="26" t="inlineStr">
        <is>
          <t>Категория</t>
        </is>
      </c>
      <c r="B5" s="26" t="inlineStr">
        <is>
          <t>Фестивали</t>
        </is>
      </c>
    </row>
    <row r="6" ht="15" customHeight="1" s="11">
      <c r="A6" s="26" t="inlineStr">
        <is>
          <t>Категория</t>
        </is>
      </c>
      <c r="B6" s="26" t="inlineStr">
        <is>
          <t>Ярмарки</t>
        </is>
      </c>
    </row>
    <row r="7" ht="15" customHeight="1" s="11">
      <c r="A7" s="26" t="inlineStr">
        <is>
          <t>Категория</t>
        </is>
      </c>
      <c r="B7" s="26" t="inlineStr">
        <is>
          <t>Театр</t>
        </is>
      </c>
    </row>
    <row r="8" ht="15" customHeight="1" s="11">
      <c r="A8" s="26" t="inlineStr">
        <is>
          <t>Категория</t>
        </is>
      </c>
      <c r="B8" s="26" t="inlineStr">
        <is>
          <t>Кино</t>
        </is>
      </c>
    </row>
    <row r="9" ht="15" customHeight="1" s="11">
      <c r="A9" s="26" t="inlineStr">
        <is>
          <t>Категория</t>
        </is>
      </c>
      <c r="B9" s="26" t="inlineStr">
        <is>
          <t>Лекции</t>
        </is>
      </c>
    </row>
    <row r="10" ht="15" customHeight="1" s="11">
      <c r="A10" s="26" t="inlineStr">
        <is>
          <t>Категория</t>
        </is>
      </c>
      <c r="B10" s="26" t="inlineStr">
        <is>
          <t>Выставки и музеи</t>
        </is>
      </c>
    </row>
    <row r="11" ht="15" customHeight="1" s="11">
      <c r="A11" s="26" t="inlineStr">
        <is>
          <t>Категория</t>
        </is>
      </c>
      <c r="B11" s="26" t="inlineStr">
        <is>
          <t>Детям и семьям</t>
        </is>
      </c>
    </row>
    <row r="12" ht="15" customHeight="1" s="11">
      <c r="A12" s="26" t="inlineStr">
        <is>
          <t>Категория</t>
        </is>
      </c>
      <c r="B12" s="26" t="inlineStr">
        <is>
          <t>Еда и напитки</t>
        </is>
      </c>
    </row>
    <row r="13" ht="15" customHeight="1" s="11">
      <c r="A13" s="26" t="inlineStr">
        <is>
          <t>Категория</t>
        </is>
      </c>
      <c r="B13" s="26" t="inlineStr">
        <is>
          <t>Рынки и барахолки</t>
        </is>
      </c>
    </row>
    <row r="14" ht="15" customHeight="1" s="11">
      <c r="A14" s="26" t="inlineStr">
        <is>
          <t>Категория</t>
        </is>
      </c>
      <c r="B14" s="26" t="inlineStr">
        <is>
          <t>Комедия и стендап</t>
        </is>
      </c>
    </row>
    <row r="15" ht="15" customHeight="1" s="11">
      <c r="A15" s="26" t="inlineStr">
        <is>
          <t>Категория</t>
        </is>
      </c>
      <c r="B15" s="26" t="inlineStr">
        <is>
          <t>Ночная жизнь</t>
        </is>
      </c>
    </row>
    <row r="16" ht="15" customHeight="1" s="11">
      <c r="A16" s="26" t="inlineStr">
        <is>
          <t>Категория</t>
        </is>
      </c>
      <c r="B16" s="26" t="inlineStr">
        <is>
          <t>Открытые двери и экскурсии</t>
        </is>
      </c>
    </row>
    <row r="17" ht="15" customHeight="1" s="11">
      <c r="A17" s="26" t="inlineStr">
        <is>
          <t>Категория</t>
        </is>
      </c>
      <c r="B17" s="26" t="inlineStr">
        <is>
          <t>Природа и загородные поездки</t>
        </is>
      </c>
    </row>
    <row r="18" ht="15" customHeight="1" s="11">
      <c r="A18" s="26" t="inlineStr">
        <is>
          <t>Категория</t>
        </is>
      </c>
      <c r="B18" s="26" t="inlineStr">
        <is>
          <t>Праздники и сезонное</t>
        </is>
      </c>
    </row>
    <row r="19" ht="15" customHeight="1" s="11">
      <c r="A19" s="26" t="inlineStr">
        <is>
          <t>Категория</t>
        </is>
      </c>
      <c r="B19" s="26" t="inlineStr">
        <is>
          <t>Воркшопы и курсы</t>
        </is>
      </c>
    </row>
    <row r="20" ht="15" customHeight="1" s="11">
      <c r="A20" s="26" t="inlineStr">
        <is>
          <t>Категория</t>
        </is>
      </c>
      <c r="B20" s="26" t="inlineStr">
        <is>
          <t>Сообщества и благотворительность</t>
        </is>
      </c>
    </row>
    <row r="21" ht="15" customHeight="1" s="11">
      <c r="A21" s="26" t="inlineStr">
        <is>
          <t>Категория</t>
        </is>
      </c>
      <c r="B21" s="26" t="inlineStr">
        <is>
          <t>Практическое</t>
        </is>
      </c>
    </row>
    <row r="22" ht="15" customHeight="1" s="11">
      <c r="A22" s="26" t="inlineStr">
        <is>
          <t>Аудитория</t>
        </is>
      </c>
      <c r="B22" s="26" t="inlineStr">
        <is>
          <t>дети до 5</t>
        </is>
      </c>
    </row>
    <row r="23" ht="15" customHeight="1" s="11">
      <c r="A23" s="26" t="inlineStr">
        <is>
          <t>Аудитория</t>
        </is>
      </c>
      <c r="B23" s="26" t="inlineStr">
        <is>
          <t>дети 5–12</t>
        </is>
      </c>
    </row>
    <row r="24" ht="15" customHeight="1" s="11">
      <c r="A24" s="26" t="inlineStr">
        <is>
          <t>Аудитория</t>
        </is>
      </c>
      <c r="B24" s="26" t="inlineStr">
        <is>
          <t>подростки</t>
        </is>
      </c>
    </row>
    <row r="25" ht="15" customHeight="1" s="11">
      <c r="A25" s="26" t="inlineStr">
        <is>
          <t>Аудитория</t>
        </is>
      </c>
      <c r="B25" s="26" t="inlineStr">
        <is>
          <t>семьи</t>
        </is>
      </c>
    </row>
    <row r="26" ht="15" customHeight="1" s="11">
      <c r="A26" s="26" t="inlineStr">
        <is>
          <t>Аудитория</t>
        </is>
      </c>
      <c r="B26" s="26" t="inlineStr">
        <is>
          <t>18+</t>
        </is>
      </c>
    </row>
    <row r="27" ht="15" customHeight="1" s="11">
      <c r="A27" s="26" t="inlineStr">
        <is>
          <t>Цена</t>
        </is>
      </c>
      <c r="B27" s="26" t="inlineStr">
        <is>
          <t>бесплатно</t>
        </is>
      </c>
    </row>
    <row r="28" ht="15" customHeight="1" s="11">
      <c r="A28" s="26" t="inlineStr">
        <is>
          <t>Цена</t>
        </is>
      </c>
      <c r="B28" s="26" t="inlineStr">
        <is>
          <t>до £10</t>
        </is>
      </c>
    </row>
    <row r="29" ht="15" customHeight="1" s="11">
      <c r="A29" s="26" t="inlineStr">
        <is>
          <t>Цена</t>
        </is>
      </c>
      <c r="B29" s="26" t="inlineStr">
        <is>
          <t>дороже</t>
        </is>
      </c>
    </row>
    <row r="30" ht="15" customHeight="1" s="11">
      <c r="A30" s="26" t="inlineStr">
        <is>
          <t>Зона</t>
        </is>
      </c>
      <c r="B30" s="26" t="inlineStr">
        <is>
          <t>Центр</t>
        </is>
      </c>
    </row>
    <row r="31" ht="15" customHeight="1" s="11">
      <c r="A31" s="26" t="inlineStr">
        <is>
          <t>Зона</t>
        </is>
      </c>
      <c r="B31" s="26" t="inlineStr">
        <is>
          <t>до 30 мин</t>
        </is>
      </c>
    </row>
    <row r="32" ht="15" customHeight="1" s="11">
      <c r="A32" s="26" t="inlineStr">
        <is>
          <t>Зона</t>
        </is>
      </c>
      <c r="B32" s="26" t="inlineStr">
        <is>
          <t>до часа</t>
        </is>
      </c>
    </row>
    <row r="33" ht="15" customHeight="1" s="11">
      <c r="A33" s="26" t="inlineStr">
        <is>
          <t>Бронирование</t>
        </is>
      </c>
      <c r="B33" s="26" t="inlineStr">
        <is>
          <t>без билетов</t>
        </is>
      </c>
    </row>
    <row r="34" ht="15" customHeight="1" s="11">
      <c r="A34" s="26" t="inlineStr">
        <is>
          <t>Бронирование</t>
        </is>
      </c>
      <c r="B34" s="26" t="inlineStr">
        <is>
          <t>нужно бронировать</t>
        </is>
      </c>
    </row>
    <row r="35" ht="15" customHeight="1" s="11">
      <c r="A35" s="26" t="inlineStr">
        <is>
          <t>Бронирование</t>
        </is>
      </c>
      <c r="B35" s="26" t="inlineStr">
        <is>
          <t>продажа открывается скоро</t>
        </is>
      </c>
    </row>
    <row r="36" ht="15" customHeight="1" s="11">
      <c r="A36" s="26" t="inlineStr">
        <is>
          <t>Статус</t>
        </is>
      </c>
      <c r="B36" s="26" t="inlineStr">
        <is>
          <t>по плану</t>
        </is>
      </c>
    </row>
    <row r="37" ht="15" customHeight="1" s="11">
      <c r="A37" s="26" t="inlineStr">
        <is>
          <t>Статус</t>
        </is>
      </c>
      <c r="B37" s="26" t="inlineStr">
        <is>
          <t>перенесено</t>
        </is>
      </c>
    </row>
    <row r="38" ht="15" customHeight="1" s="11">
      <c r="A38" s="26" t="inlineStr">
        <is>
          <t>Статус</t>
        </is>
      </c>
      <c r="B38" s="26" t="inlineStr">
        <is>
          <t>отменено</t>
        </is>
      </c>
    </row>
    <row r="39" ht="15" customHeight="1" s="11">
      <c r="A39" s="26" t="inlineStr">
        <is>
          <t>Статус</t>
        </is>
      </c>
      <c r="B39" s="26" t="inlineStr">
        <is>
          <t>sold out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8" customWidth="1" style="11" min="1" max="1"/>
    <col width="40" customWidth="1" style="11" min="2" max="2"/>
    <col width="12" customWidth="1" style="11" min="3" max="3"/>
    <col width="16" customWidth="1" style="11" min="4" max="4"/>
    <col width="14" customWidth="1" style="11" min="5" max="5"/>
    <col width="60" customWidth="1" style="11" min="6" max="6"/>
    <col width="90" customWidth="1" style="11" min="7" max="7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Состояние</t>
        </is>
      </c>
      <c r="D1" s="20" t="inlineStr">
        <is>
          <t>Решение</t>
        </is>
      </c>
      <c r="E1" s="20" t="inlineStr">
        <is>
          <t>Способ</t>
        </is>
      </c>
      <c r="F1" s="20" t="inlineStr">
        <is>
          <t>Endpoint</t>
        </is>
      </c>
      <c r="G1" s="20" t="inlineStr">
        <is>
          <t>Примечание</t>
        </is>
      </c>
    </row>
    <row r="2">
      <c r="A2" s="10" t="inlineStr">
        <is>
          <t>S010</t>
        </is>
      </c>
      <c r="B2" s="10" t="inlineStr">
        <is>
          <t>Peterborough Telegraph</t>
        </is>
      </c>
      <c r="C2" s="10" t="inlineStr">
        <is>
          <t>живой</t>
        </is>
      </c>
      <c r="D2" s="33" t="inlineStr">
        <is>
          <t>подключён</t>
        </is>
      </c>
      <c r="E2" s="10" t="inlineStr">
        <is>
          <t>RSS</t>
        </is>
      </c>
      <c r="F2" s="10" t="inlineStr">
        <is>
          <t>https://www.peterboroughtoday.co.uk/rss</t>
        </is>
      </c>
      <c r="G2" s="10" t="inlineStr">
        <is>
          <t>RSS (HTML сайта — 403); статьи → извлечение через Claude</t>
        </is>
      </c>
    </row>
    <row r="3">
      <c r="A3" s="10" t="inlineStr">
        <is>
          <t>S013</t>
        </is>
      </c>
      <c r="B3" s="10" t="inlineStr">
        <is>
          <t>The Portland Arms</t>
        </is>
      </c>
      <c r="C3" s="10" t="inlineStr">
        <is>
          <t>закрыт</t>
        </is>
      </c>
      <c r="D3" s="10" t="inlineStr">
        <is>
          <t>не нужен</t>
        </is>
      </c>
      <c r="G3" s="10" t="inlineStr">
        <is>
          <t>robots.txt отвечает 403; концерты есть на Ents24/Skiddle (S006/S007)</t>
        </is>
      </c>
    </row>
    <row r="4">
      <c r="A4" s="10" t="inlineStr">
        <is>
          <t>S014</t>
        </is>
      </c>
      <c r="B4" s="10" t="inlineStr">
        <is>
          <t>Storey's Field Centre (Eddington)</t>
        </is>
      </c>
      <c r="C4" s="10" t="inlineStr">
        <is>
          <t>живой</t>
        </is>
      </c>
      <c r="D4" s="10" t="inlineStr">
        <is>
          <t>не нужен</t>
        </is>
      </c>
      <c r="E4" s="10" t="inlineStr">
        <is>
          <t>RSS</t>
        </is>
      </c>
      <c r="F4" s="10" t="inlineStr">
        <is>
          <t>https://www.storeysfieldcentre.org.uk/feed/</t>
        </is>
      </c>
      <c r="G4" s="10" t="inlineStr">
        <is>
          <t>фид — 3 новости; события продаются через Eventbrite (S008) и Cambridge Live Tickets (S091)</t>
        </is>
      </c>
    </row>
    <row r="5">
      <c r="A5" s="10" t="inlineStr">
        <is>
          <t>S015</t>
        </is>
      </c>
      <c r="B5" s="10" t="inlineStr">
        <is>
          <t>West Road Concert Hall</t>
        </is>
      </c>
      <c r="C5" s="10" t="inlineStr">
        <is>
          <t>живой</t>
        </is>
      </c>
      <c r="D5" s="10" t="inlineStr">
        <is>
          <t>не нужен</t>
        </is>
      </c>
      <c r="E5" s="10" t="inlineStr">
        <is>
          <t>HTML</t>
        </is>
      </c>
      <c r="F5" s="10" t="inlineStr">
        <is>
          <t>https://www.westroad.org</t>
        </is>
      </c>
      <c r="G5" s="10" t="inlineStr">
        <is>
          <t>HTML без JSON-LD; концерты уже приходят из S091, S005, S007, S008</t>
        </is>
      </c>
    </row>
    <row r="6">
      <c r="A6" s="10" t="inlineStr">
        <is>
          <t>S017</t>
        </is>
      </c>
      <c r="B6" s="10" t="inlineStr">
        <is>
          <t>Saffron Hall</t>
        </is>
      </c>
      <c r="C6" s="10" t="inlineStr">
        <is>
          <t>живой</t>
        </is>
      </c>
      <c r="D6" s="33" t="inlineStr">
        <is>
          <t>подключён</t>
        </is>
      </c>
      <c r="E6" s="10" t="inlineStr">
        <is>
          <t>HTML</t>
        </is>
      </c>
      <c r="F6" s="10" t="inlineStr">
        <is>
          <t>https://www.saffronhall.com/</t>
        </is>
      </c>
      <c r="G6" s="10" t="inlineStr">
        <is>
          <t>HTML-карточки: дата, время, наличие билетов (Nearly full → «мало билетов»), отмены</t>
        </is>
      </c>
    </row>
    <row r="7">
      <c r="A7" s="10" t="inlineStr">
        <is>
          <t>S020</t>
        </is>
      </c>
      <c r="B7" s="10" t="inlineStr">
        <is>
          <t>Cambridge Rugby Club</t>
        </is>
      </c>
      <c r="C7" s="10" t="inlineStr">
        <is>
          <t>закрыт</t>
        </is>
      </c>
      <c r="D7" s="19" t="inlineStr">
        <is>
          <t>закрыт</t>
        </is>
      </c>
      <c r="G7" s="10" t="inlineStr">
        <is>
          <t>страница-проверка (HTTP 202, бот-защита); обходить не будем</t>
        </is>
      </c>
    </row>
    <row r="8">
      <c r="A8" s="10" t="inlineStr">
        <is>
          <t>S023</t>
        </is>
      </c>
      <c r="B8" s="10" t="inlineStr">
        <is>
          <t>CUCBC — May Bumps / Lent Bumps</t>
        </is>
      </c>
      <c r="C8" s="10" t="inlineStr">
        <is>
          <t>живой</t>
        </is>
      </c>
      <c r="D8" s="10" t="inlineStr">
        <is>
          <t>ежегодное</t>
        </is>
      </c>
      <c r="E8" s="10" t="inlineStr">
        <is>
          <t>RSS</t>
        </is>
      </c>
      <c r="F8" s="10" t="inlineStr">
        <is>
          <t>https://www.cucbc.org/rss.xml</t>
        </is>
      </c>
      <c r="G8" s="10" t="inlineStr">
        <is>
          <t>Lent/May Bumps — сезонно; RSS новостей есть; даты — через recurring_events</t>
        </is>
      </c>
    </row>
    <row r="9">
      <c r="A9" s="10" t="inlineStr">
        <is>
          <t>S027</t>
        </is>
      </c>
      <c r="B9" s="10" t="inlineStr">
        <is>
          <t>RunThrough — события в Кембридже</t>
        </is>
      </c>
      <c r="C9" s="10" t="inlineStr">
        <is>
          <t>живой</t>
        </is>
      </c>
      <c r="D9" s="33" t="inlineStr">
        <is>
          <t>подключён</t>
        </is>
      </c>
      <c r="E9" s="10" t="inlineStr">
        <is>
          <t>JSON-LD</t>
        </is>
      </c>
      <c r="F9" s="10" t="inlineStr">
        <is>
          <t>https://www.runthrough.co.uk/events-timeline</t>
        </is>
      </c>
      <c r="G9" s="10" t="inlineStr">
        <is>
          <t>JSON-LD SportsEvent, но список — 24 ближайших забега по стране; сейчас в регионе 0 (фильтр по почтовым зонам). Ценность низкая — пересмотреть на этапе 6</t>
        </is>
      </c>
    </row>
    <row r="10">
      <c r="A10" s="10" t="inlineStr">
        <is>
          <t>S029</t>
        </is>
      </c>
      <c r="B10" s="10" t="inlineStr">
        <is>
          <t>Let's Do This — Cambridgeshire</t>
        </is>
      </c>
      <c r="C10" s="10" t="inlineStr">
        <is>
          <t>закрыт</t>
        </is>
      </c>
      <c r="D10" s="19" t="inlineStr">
        <is>
          <t>закрыт</t>
        </is>
      </c>
      <c r="G10" s="10" t="inlineStr">
        <is>
          <t>robots.txt отвечает 403</t>
        </is>
      </c>
    </row>
    <row r="11">
      <c r="A11" s="10" t="inlineStr">
        <is>
          <t>S034</t>
        </is>
      </c>
      <c r="B11" s="10" t="inlineStr">
        <is>
          <t>Whittlesea Straw Bear Festival</t>
        </is>
      </c>
      <c r="C11" s="10" t="inlineStr">
        <is>
          <t>живой</t>
        </is>
      </c>
      <c r="D11" s="10" t="inlineStr">
        <is>
          <t>ежегодное</t>
        </is>
      </c>
      <c r="E11" s="10" t="inlineStr">
        <is>
          <t>HTML</t>
        </is>
      </c>
      <c r="F11" s="10" t="inlineStr">
        <is>
          <t>https://www.strawbear.org.uk</t>
        </is>
      </c>
      <c r="G11" s="10" t="inlineStr">
        <is>
          <t>уже в recurring_events (R01)</t>
        </is>
      </c>
    </row>
    <row r="12">
      <c r="A12" s="10" t="inlineStr">
        <is>
          <t>S035</t>
        </is>
      </c>
      <c r="B12" s="10" t="inlineStr">
        <is>
          <t>Cambridge Film Festival</t>
        </is>
      </c>
      <c r="C12" s="10" t="inlineStr">
        <is>
          <t>живой</t>
        </is>
      </c>
      <c r="D12" s="10" t="inlineStr">
        <is>
          <t>ежегодное</t>
        </is>
      </c>
      <c r="E12" s="10" t="inlineStr">
        <is>
          <t>HTML</t>
        </is>
      </c>
      <c r="F12" s="10" t="inlineStr">
        <is>
          <t>https://www.cambridgefilmfestival.org.uk</t>
        </is>
      </c>
      <c r="G12" s="10" t="inlineStr">
        <is>
          <t>фестиваль раз в год (осень); HTML без фида — предлагаю добавить в recurring_events</t>
        </is>
      </c>
    </row>
    <row r="13">
      <c r="A13" s="10" t="inlineStr">
        <is>
          <t>S036</t>
        </is>
      </c>
      <c r="B13" s="10" t="inlineStr">
        <is>
          <t>Cambridge Literary Festival</t>
        </is>
      </c>
      <c r="C13" s="10" t="inlineStr">
        <is>
          <t>закрыт</t>
        </is>
      </c>
      <c r="D13" s="19" t="inlineStr">
        <is>
          <t>закрыт</t>
        </is>
      </c>
      <c r="G13" s="10" t="inlineStr">
        <is>
          <t>403 на сайт и /events</t>
        </is>
      </c>
    </row>
    <row r="14">
      <c r="A14" s="10" t="inlineStr">
        <is>
          <t>S044</t>
        </is>
      </c>
      <c r="B14" s="10" t="inlineStr">
        <is>
          <t>Постановки в садах колледжей (лето)</t>
        </is>
      </c>
      <c r="C14" s="10" t="inlineStr">
        <is>
          <t>живой</t>
        </is>
      </c>
      <c r="D14" s="10" t="inlineStr">
        <is>
          <t>ежегодное</t>
        </is>
      </c>
      <c r="E14" s="10" t="inlineStr">
        <is>
          <t>HTML</t>
        </is>
      </c>
      <c r="F14" s="10" t="inlineStr">
        <is>
          <t>https://cambridgeshakespeare.com/</t>
        </is>
      </c>
      <c r="G14" s="10" t="inlineStr">
        <is>
          <t>летний сезон постановок; ручной сезонный календарь</t>
        </is>
      </c>
    </row>
    <row r="15">
      <c r="A15" s="10" t="inlineStr">
        <is>
          <t>S046</t>
        </is>
      </c>
      <c r="B15" s="10" t="inlineStr">
        <is>
          <t>Кино под открытым небом (летние сезоны)</t>
        </is>
      </c>
      <c r="C15" s="10" t="inlineStr">
        <is>
          <t>нет событий</t>
        </is>
      </c>
      <c r="D15" s="10" t="inlineStr">
        <is>
          <t>ежегодное</t>
        </is>
      </c>
      <c r="E15" s="10" t="inlineStr">
        <is>
          <t>HTML</t>
        </is>
      </c>
      <c r="F15" s="10" t="inlineStr">
        <is>
          <t>https://www.cambridgefilmfestival.org.uk</t>
        </is>
      </c>
      <c r="G15" s="10" t="inlineStr">
        <is>
          <t>летние показы; адрес организатора не подтверждён — ручной сезонный</t>
        </is>
      </c>
    </row>
    <row r="16">
      <c r="A16" s="10" t="inlineStr">
        <is>
          <t>S049</t>
        </is>
      </c>
      <c r="B16" s="10" t="inlineStr">
        <is>
          <t>Cambridge Union</t>
        </is>
      </c>
      <c r="C16" s="10" t="inlineStr">
        <is>
          <t>живой</t>
        </is>
      </c>
      <c r="D16" s="10" t="inlineStr">
        <is>
          <t>не нужен</t>
        </is>
      </c>
      <c r="E16" s="10" t="inlineStr">
        <is>
          <t>RSS</t>
        </is>
      </c>
      <c r="F16" s="10" t="inlineStr">
        <is>
          <t>https://cus.org/feed</t>
        </is>
      </c>
      <c r="G16" s="10" t="inlineStr">
        <is>
          <t>мероприятия в основном для членов Union; публичные крупные гости попадают в новости</t>
        </is>
      </c>
    </row>
    <row r="17">
      <c r="A17" s="10" t="inlineStr">
        <is>
          <t>S051</t>
        </is>
      </c>
      <c r="B17" s="10" t="inlineStr">
        <is>
          <t>Kettle's Yard</t>
        </is>
      </c>
      <c r="C17" s="10" t="inlineStr">
        <is>
          <t>живой</t>
        </is>
      </c>
      <c r="D17" s="33" t="inlineStr">
        <is>
          <t>подключён</t>
        </is>
      </c>
      <c r="E17" s="10" t="inlineStr">
        <is>
          <t>HTML</t>
        </is>
      </c>
      <c r="F17" s="10" t="inlineStr">
        <is>
          <t>https://www.kettlesyard.cam.ac.uk/whats-on/</t>
        </is>
      </c>
      <c r="G17" s="10" t="inlineStr">
        <is>
          <t>приоритет 1, коллектора не было: HTML страниц событий (контрольный пример этапа 5)</t>
        </is>
      </c>
    </row>
    <row r="18">
      <c r="A18" s="10" t="inlineStr">
        <is>
          <t>S053</t>
        </is>
      </c>
      <c r="B18" s="10" t="inlineStr">
        <is>
          <t>IWM Duxford</t>
        </is>
      </c>
      <c r="C18" s="10" t="inlineStr">
        <is>
          <t>закрыт</t>
        </is>
      </c>
      <c r="D18" s="19" t="inlineStr">
        <is>
          <t>закрыт</t>
        </is>
      </c>
      <c r="G18" s="10" t="inlineStr">
        <is>
          <t>iwm.org.uk — 403 (бот-защита) на все страницы; в Ents24/Skiddle Duxford не найден</t>
        </is>
      </c>
    </row>
    <row r="19">
      <c r="A19" s="10" t="inlineStr">
        <is>
          <t>S054</t>
        </is>
      </c>
      <c r="B19" s="10" t="inlineStr">
        <is>
          <t>Cambridge Science Centre</t>
        </is>
      </c>
      <c r="C19" s="10" t="inlineStr">
        <is>
          <t>живой</t>
        </is>
      </c>
      <c r="D19" s="32" t="inlineStr">
        <is>
          <t>отложен</t>
        </is>
      </c>
      <c r="E19" s="10" t="inlineStr">
        <is>
          <t>RSS</t>
        </is>
      </c>
      <c r="F19" s="10" t="inlineStr">
        <is>
          <t>https://www.cambridgesciencecentre.org/whats-on/feed/</t>
        </is>
      </c>
      <c r="G19" s="10" t="inlineStr">
        <is>
          <t>WordPress, тип записей events без дат в API — нужен разбор HTML (детские события — ценно)</t>
        </is>
      </c>
    </row>
    <row r="20">
      <c r="A20" s="10" t="inlineStr">
        <is>
          <t>S055</t>
        </is>
      </c>
      <c r="B20" s="10" t="inlineStr">
        <is>
          <t>Библиотеки Cambridgeshire</t>
        </is>
      </c>
      <c r="C20" s="10" t="inlineStr">
        <is>
          <t>живой</t>
        </is>
      </c>
      <c r="D20" s="32" t="inlineStr">
        <is>
          <t>отложен</t>
        </is>
      </c>
      <c r="E20" s="10" t="inlineStr">
        <is>
          <t>HTML</t>
        </is>
      </c>
      <c r="F20" s="10" t="inlineStr">
        <is>
          <t>https://www.cambridgeshire.gov.uk/residents/libraries-leisure-culture/libraries</t>
        </is>
      </c>
      <c r="G20" s="10" t="inlineStr">
        <is>
          <t>Contensis, события библиотек — на сторонних сервисах; нужен разбор</t>
        </is>
      </c>
    </row>
    <row r="21">
      <c r="A21" s="10" t="inlineStr">
        <is>
          <t>S057</t>
        </is>
      </c>
      <c r="B21" s="10" t="inlineStr">
        <is>
          <t>Eat Cambridge</t>
        </is>
      </c>
      <c r="C21" s="10" t="inlineStr">
        <is>
          <t>живой</t>
        </is>
      </c>
      <c r="D21" s="10" t="inlineStr">
        <is>
          <t>ежегодное</t>
        </is>
      </c>
      <c r="E21" s="10" t="inlineStr">
        <is>
          <t>RSS</t>
        </is>
      </c>
      <c r="F21" s="10" t="inlineStr">
        <is>
          <t>https://eat-cambridge.co.uk/feed/</t>
        </is>
      </c>
      <c r="G21" s="10" t="inlineStr">
        <is>
          <t>фестиваль в мае; фид — 3 записи</t>
        </is>
      </c>
    </row>
    <row r="22">
      <c r="A22" s="10" t="inlineStr">
        <is>
          <t>S058</t>
        </is>
      </c>
      <c r="B22" s="10" t="inlineStr">
        <is>
          <t>Открытия ресторанов</t>
        </is>
      </c>
      <c r="C22" s="10" t="inlineStr">
        <is>
          <t>—</t>
        </is>
      </c>
      <c r="D22" s="10" t="inlineStr">
        <is>
          <t>не нужен</t>
        </is>
      </c>
      <c r="G22" s="10" t="inlineStr">
        <is>
          <t>производный источник: открытия через S092/S093 (извлечение из статей)</t>
        </is>
      </c>
    </row>
    <row r="23">
      <c r="A23" s="10" t="inlineStr">
        <is>
          <t>S066</t>
        </is>
      </c>
      <c r="B23" s="10" t="inlineStr">
        <is>
          <t>Heritage Open Days</t>
        </is>
      </c>
      <c r="C23" s="10" t="inlineStr">
        <is>
          <t>живой</t>
        </is>
      </c>
      <c r="D23" s="10" t="inlineStr">
        <is>
          <t>ежегодное</t>
        </is>
      </c>
      <c r="E23" s="10" t="inlineStr">
        <is>
          <t>HTML</t>
        </is>
      </c>
      <c r="F23" s="10" t="inlineStr">
        <is>
          <t>https://www.heritageopendays.org.uk</t>
        </is>
      </c>
      <c r="G23" s="10" t="inlineStr">
        <is>
          <t>Heritage Open Days — сентябрь; поиск по региону в HTML</t>
        </is>
      </c>
    </row>
    <row r="24">
      <c r="A24" s="10" t="inlineStr">
        <is>
          <t>S067</t>
        </is>
      </c>
      <c r="B24" s="10" t="inlineStr">
        <is>
          <t>National Garden Scheme</t>
        </is>
      </c>
      <c r="C24" s="10" t="inlineStr">
        <is>
          <t>живой</t>
        </is>
      </c>
      <c r="D24" s="32" t="inlineStr">
        <is>
          <t>отложен</t>
        </is>
      </c>
      <c r="E24" s="10" t="inlineStr">
        <is>
          <t>HTML</t>
        </is>
      </c>
      <c r="F24" s="10" t="inlineStr">
        <is>
          <t>https://ngs.org.uk</t>
        </is>
      </c>
      <c r="G24" s="10" t="inlineStr">
        <is>
          <t>findagarden.ngs.org.uk — сезон весна–лето; разбор HTML</t>
        </is>
      </c>
    </row>
    <row r="25">
      <c r="A25" s="10" t="inlineStr">
        <is>
          <t>S071</t>
        </is>
      </c>
      <c r="B25" s="10" t="inlineStr">
        <is>
          <t>Ely Cathedral</t>
        </is>
      </c>
      <c r="C25" s="10" t="inlineStr">
        <is>
          <t>живой</t>
        </is>
      </c>
      <c r="D25" s="32" t="inlineStr">
        <is>
          <t>отложен</t>
        </is>
      </c>
      <c r="E25" s="10" t="inlineStr">
        <is>
          <t>HTML</t>
        </is>
      </c>
      <c r="F25" s="10" t="inlineStr">
        <is>
          <t>https://www.elycathedral.org</t>
        </is>
      </c>
      <c r="G25" s="10" t="inlineStr">
        <is>
          <t>Spektrix без JSON-LD; часть концертов уже из Ents24/Skiddle (S128/S129) и Eventbrite</t>
        </is>
      </c>
    </row>
    <row r="26">
      <c r="A26" s="10" t="inlineStr">
        <is>
          <t>S075</t>
        </is>
      </c>
      <c r="B26" s="10" t="inlineStr">
        <is>
          <t>Воркшопы в музеях</t>
        </is>
      </c>
      <c r="C26" s="10" t="inlineStr">
        <is>
          <t>—</t>
        </is>
      </c>
      <c r="D26" s="10" t="inlineStr">
        <is>
          <t>не нужен</t>
        </is>
      </c>
      <c r="G26" s="10" t="inlineStr">
        <is>
          <t>производный (музеи)</t>
        </is>
      </c>
    </row>
    <row r="27">
      <c r="A27" s="10" t="inlineStr">
        <is>
          <t>S076</t>
        </is>
      </c>
      <c r="B27" s="10" t="inlineStr">
        <is>
          <t>Love Mill Road / Mill Road Fringe</t>
        </is>
      </c>
      <c r="C27" s="10" t="inlineStr">
        <is>
          <t>живой</t>
        </is>
      </c>
      <c r="D27" s="32" t="inlineStr">
        <is>
          <t>отложен</t>
        </is>
      </c>
      <c r="E27" s="10" t="inlineStr">
        <is>
          <t>RSS</t>
        </is>
      </c>
      <c r="F27" s="10" t="inlineStr">
        <is>
          <t>https://www.millroadwinterfair.org/feed/</t>
        </is>
      </c>
      <c r="G27" s="10" t="inlineStr">
        <is>
          <t>Mill Road Fringe — сезонно; страница WordPress без событийных данных</t>
        </is>
      </c>
    </row>
    <row r="28">
      <c r="A28" s="10" t="inlineStr">
        <is>
          <t>S077</t>
        </is>
      </c>
      <c r="B28" s="10" t="inlineStr">
        <is>
          <t>Районные FB-группы и Nextdoor</t>
        </is>
      </c>
      <c r="C28" s="10" t="inlineStr">
        <is>
          <t>—</t>
        </is>
      </c>
      <c r="D28" s="10" t="inlineStr">
        <is>
          <t>не нужен</t>
        </is>
      </c>
      <c r="G28" s="10" t="inlineStr">
        <is>
          <t>соцсети — по правилам не парсим</t>
        </is>
      </c>
    </row>
    <row r="29">
      <c r="A29" s="10" t="inlineStr">
        <is>
          <t>S078</t>
        </is>
      </c>
      <c r="B29" s="10" t="inlineStr">
        <is>
          <t>Перекрытия дорог (county council / one.network)</t>
        </is>
      </c>
      <c r="C29" s="10" t="inlineStr">
        <is>
          <t>закрыт</t>
        </is>
      </c>
      <c r="D29" s="19" t="inlineStr">
        <is>
          <t>закрыт</t>
        </is>
      </c>
      <c r="G29" s="10" t="inlineStr">
        <is>
          <t>robots.txt запрещает</t>
        </is>
      </c>
    </row>
    <row r="30">
      <c r="A30" s="10" t="inlineStr">
        <is>
          <t>S079</t>
        </is>
      </c>
      <c r="B30" s="10" t="inlineStr">
        <is>
          <t>Greater Anglia / Thameslink / National Rail</t>
        </is>
      </c>
      <c r="C30" s="10" t="inlineStr">
        <is>
          <t>живой</t>
        </is>
      </c>
      <c r="D30" s="10" t="inlineStr">
        <is>
          <t>не нужен</t>
        </is>
      </c>
      <c r="E30" s="10" t="inlineStr">
        <is>
          <t>HTML</t>
        </is>
      </c>
      <c r="F30" s="10" t="inlineStr">
        <is>
          <t>https://www.nationalrail.co.uk</t>
        </is>
      </c>
      <c r="G30" s="10" t="inlineStr">
        <is>
          <t>не события (транспорт); вернуться к этому, если понадобится практический блок</t>
        </is>
      </c>
    </row>
    <row r="31">
      <c r="A31" s="10" t="inlineStr">
        <is>
          <t>S083</t>
        </is>
      </c>
      <c r="B31" s="10" t="inlineStr">
        <is>
          <t>«Nihao! China» Cambridge Dragon Boat Festival</t>
        </is>
      </c>
      <c r="C31" s="10" t="inlineStr">
        <is>
          <t>живой</t>
        </is>
      </c>
      <c r="D31" s="10" t="inlineStr">
        <is>
          <t>ежегодное</t>
        </is>
      </c>
      <c r="E31" s="10" t="inlineStr">
        <is>
          <t>JSON-LD</t>
        </is>
      </c>
      <c r="F31" s="10" t="inlineStr">
        <is>
          <t>https://www.eventbrite.com/e/nihao-china-cambridge-dragon-boat-festival-2026-tickets-1985873566295</t>
        </is>
      </c>
      <c r="G31" s="10" t="inlineStr">
        <is>
          <t>фестиваль в июне; билеты на Eventbrite (S008)</t>
        </is>
      </c>
    </row>
    <row r="32">
      <c r="A32" s="10" t="inlineStr">
        <is>
          <t>S084</t>
        </is>
      </c>
      <c r="B32" s="10" t="inlineStr">
        <is>
          <t>Cambridgeshire Cats (американский футбол)</t>
        </is>
      </c>
      <c r="C32" s="10" t="inlineStr">
        <is>
          <t>живой</t>
        </is>
      </c>
      <c r="D32" s="32" t="inlineStr">
        <is>
          <t>отложен</t>
        </is>
      </c>
      <c r="E32" s="10" t="inlineStr">
        <is>
          <t>RSS</t>
        </is>
      </c>
      <c r="F32" s="10" t="inlineStr">
        <is>
          <t>https://cambridgeshirecats.com/feed/</t>
        </is>
      </c>
      <c r="G32" s="10" t="inlineStr">
        <is>
          <t>сайт WordPress (новости), страницы расписания нет; сезон BAFA — весна–лето, сейчас матчей нет</t>
        </is>
      </c>
    </row>
    <row r="33">
      <c r="A33" s="10" t="inlineStr">
        <is>
          <t>S086</t>
        </is>
      </c>
      <c r="B33" s="10" t="inlineStr">
        <is>
          <t>Addenbrooke's Charitable Trust — события</t>
        </is>
      </c>
      <c r="C33" s="10" t="inlineStr">
        <is>
          <t>живой</t>
        </is>
      </c>
      <c r="D33" s="32" t="inlineStr">
        <is>
          <t>отложен</t>
        </is>
      </c>
      <c r="E33" s="10" t="inlineStr">
        <is>
          <t>RSS</t>
        </is>
      </c>
      <c r="F33" s="10" t="inlineStr">
        <is>
          <t>https://act4addenbrookes.org.uk/feed/</t>
        </is>
      </c>
      <c r="G33" s="10" t="inlineStr">
        <is>
          <t>WordPress events + RSS; благотворительные забеги и челленджи — разбор HTML</t>
        </is>
      </c>
    </row>
    <row r="34">
      <c r="A34" s="10" t="inlineStr">
        <is>
          <t>S088</t>
        </is>
      </c>
      <c r="B34" s="10" t="inlineStr">
        <is>
          <t>parkrun — Cambridge, Wimpole и др.</t>
        </is>
      </c>
      <c r="C34" s="10" t="inlineStr">
        <is>
          <t>закрыт</t>
        </is>
      </c>
      <c r="D34" s="19" t="inlineStr">
        <is>
          <t>закрыт</t>
        </is>
      </c>
      <c r="G34" s="10" t="inlineStr">
        <is>
          <t>parkrun.org.uk: robots.txt отвечает 403 — считаем запретом; регулярные забеги — статичный справочник вручную</t>
        </is>
      </c>
    </row>
    <row r="35">
      <c r="A35" s="10" t="inlineStr">
        <is>
          <t>S098</t>
        </is>
      </c>
      <c r="B35" s="10" t="inlineStr">
        <is>
          <t>South Cambridgeshire District Council</t>
        </is>
      </c>
      <c r="C35" s="10" t="inlineStr">
        <is>
          <t>живой</t>
        </is>
      </c>
      <c r="D35" s="32" t="inlineStr">
        <is>
          <t>отложен</t>
        </is>
      </c>
      <c r="E35" s="10" t="inlineStr">
        <is>
          <t>HTML</t>
        </is>
      </c>
      <c r="F35" s="10" t="inlineStr">
        <is>
          <t>https://www.scambs.gov.uk</t>
        </is>
      </c>
      <c r="G35" s="10" t="inlineStr">
        <is>
          <t>страница /events есть, событийных данных нет</t>
        </is>
      </c>
    </row>
    <row r="36">
      <c r="A36" s="10" t="inlineStr">
        <is>
          <t>S099</t>
        </is>
      </c>
      <c r="B36" s="10" t="inlineStr">
        <is>
          <t>East Cambridgeshire District Council</t>
        </is>
      </c>
      <c r="C36" s="10" t="inlineStr">
        <is>
          <t>живой</t>
        </is>
      </c>
      <c r="D36" s="32" t="inlineStr">
        <is>
          <t>отложен</t>
        </is>
      </c>
      <c r="E36" s="10" t="inlineStr">
        <is>
          <t>HTML</t>
        </is>
      </c>
      <c r="F36" s="10" t="inlineStr">
        <is>
          <t>https://eastcambs.gov.uk/</t>
        </is>
      </c>
      <c r="G36" s="10" t="inlineStr">
        <is>
          <t>Drupal, /events без структурированных данных</t>
        </is>
      </c>
    </row>
    <row r="37">
      <c r="A37" s="10" t="inlineStr">
        <is>
          <t>S100</t>
        </is>
      </c>
      <c r="B37" s="10" t="inlineStr">
        <is>
          <t>Huntingdonshire District Council</t>
        </is>
      </c>
      <c r="C37" s="10" t="inlineStr">
        <is>
          <t>живой</t>
        </is>
      </c>
      <c r="D37" s="32" t="inlineStr">
        <is>
          <t>отложен</t>
        </is>
      </c>
      <c r="E37" s="10" t="inlineStr">
        <is>
          <t>HTML</t>
        </is>
      </c>
      <c r="F37" s="10" t="inlineStr">
        <is>
          <t>https://www.huntingdonshire.gov.uk</t>
        </is>
      </c>
      <c r="G37" s="10" t="inlineStr">
        <is>
          <t>события Hinchingbrooke Country Park — через TicketSource; разбор HTML</t>
        </is>
      </c>
    </row>
    <row r="38">
      <c r="A38" s="10" t="inlineStr">
        <is>
          <t>S101</t>
        </is>
      </c>
      <c r="B38" s="10" t="inlineStr">
        <is>
          <t>Fenland District Council</t>
        </is>
      </c>
      <c r="C38" s="10" t="inlineStr">
        <is>
          <t>закрыт</t>
        </is>
      </c>
      <c r="D38" s="19" t="inlineStr">
        <is>
          <t>закрыт</t>
        </is>
      </c>
      <c r="G38" s="10" t="inlineStr">
        <is>
          <t>robots.txt отвечает 403</t>
        </is>
      </c>
    </row>
    <row r="39">
      <c r="A39" s="10" t="inlineStr">
        <is>
          <t>S102</t>
        </is>
      </c>
      <c r="B39" s="10" t="inlineStr">
        <is>
          <t>Peterborough City Council</t>
        </is>
      </c>
      <c r="C39" s="10" t="inlineStr">
        <is>
          <t>живой</t>
        </is>
      </c>
      <c r="D39" s="10" t="inlineStr">
        <is>
          <t>не нужен</t>
        </is>
      </c>
      <c r="E39" s="10" t="inlineStr">
        <is>
          <t>HTML</t>
        </is>
      </c>
      <c r="F39" s="10" t="inlineStr">
        <is>
          <t>https://www.peterborough.gov.uk</t>
        </is>
      </c>
      <c r="G39" s="10" t="inlineStr">
        <is>
          <t>раздела событий нет (404)</t>
        </is>
      </c>
    </row>
    <row r="40">
      <c r="A40" s="10" t="inlineStr">
        <is>
          <t>S103</t>
        </is>
      </c>
      <c r="B40" s="10" t="inlineStr">
        <is>
          <t>Ely City Council</t>
        </is>
      </c>
      <c r="C40" s="10" t="inlineStr">
        <is>
          <t>закрыт</t>
        </is>
      </c>
      <c r="D40" s="19" t="inlineStr">
        <is>
          <t>закрыт</t>
        </is>
      </c>
      <c r="G40" s="10" t="inlineStr">
        <is>
          <t>cityofelycouncil.org.uk: robots.txt отвечает 403</t>
        </is>
      </c>
    </row>
    <row r="41">
      <c r="A41" s="10" t="inlineStr">
        <is>
          <t>S104</t>
        </is>
      </c>
      <c r="B41" s="10" t="inlineStr">
        <is>
          <t>St Ives Town Council</t>
        </is>
      </c>
      <c r="C41" s="10" t="inlineStr">
        <is>
          <t>закрыт</t>
        </is>
      </c>
      <c r="D41" s="19" t="inlineStr">
        <is>
          <t>закрыт</t>
        </is>
      </c>
      <c r="G41" s="10" t="inlineStr">
        <is>
          <t>stivestowncouncil.gov.uk: robots.txt отвечает 403</t>
        </is>
      </c>
    </row>
    <row r="42">
      <c r="A42" s="10" t="inlineStr">
        <is>
          <t>S105</t>
        </is>
      </c>
      <c r="B42" s="10" t="inlineStr">
        <is>
          <t>St Neots Town Council</t>
        </is>
      </c>
      <c r="C42" s="10" t="inlineStr">
        <is>
          <t>живой</t>
        </is>
      </c>
      <c r="D42" s="32" t="inlineStr">
        <is>
          <t>отложен</t>
        </is>
      </c>
      <c r="E42" s="10" t="inlineStr">
        <is>
          <t>HTML</t>
        </is>
      </c>
      <c r="F42" s="10" t="inlineStr">
        <is>
          <t>https://www.stneots-tc.gov.uk</t>
        </is>
      </c>
      <c r="G42" s="10" t="inlineStr">
        <is>
          <t>WordPress council_events — разбор HTML</t>
        </is>
      </c>
    </row>
    <row r="43">
      <c r="A43" s="10" t="inlineStr">
        <is>
          <t>S106</t>
        </is>
      </c>
      <c r="B43" s="10" t="inlineStr">
        <is>
          <t>Huntingdon Town Council</t>
        </is>
      </c>
      <c r="C43" s="10" t="inlineStr">
        <is>
          <t>закрыт</t>
        </is>
      </c>
      <c r="D43" s="19" t="inlineStr">
        <is>
          <t>закрыт</t>
        </is>
      </c>
      <c r="G43" s="10" t="inlineStr">
        <is>
          <t>robots.txt отвечает 403</t>
        </is>
      </c>
    </row>
    <row r="44">
      <c r="A44" s="10" t="inlineStr">
        <is>
          <t>S107</t>
        </is>
      </c>
      <c r="B44" s="10" t="inlineStr">
        <is>
          <t>Ramsey Town Council</t>
        </is>
      </c>
      <c r="C44" s="10" t="inlineStr">
        <is>
          <t>нет событий</t>
        </is>
      </c>
      <c r="D44" s="10" t="inlineStr">
        <is>
          <t>не нужен</t>
        </is>
      </c>
      <c r="E44" s="10" t="inlineStr">
        <is>
          <t>iCal</t>
        </is>
      </c>
      <c r="F44" s="10" t="inlineStr">
        <is>
          <t>https://www.ramseytowncouncil.gov.uk/feeds/ical/638856?nodeid=3007</t>
        </is>
      </c>
      <c r="G44" s="10" t="inlineStr">
        <is>
          <t>iCal совета пуст</t>
        </is>
      </c>
    </row>
    <row r="45">
      <c r="A45" s="10" t="inlineStr">
        <is>
          <t>S108</t>
        </is>
      </c>
      <c r="B45" s="10" t="inlineStr">
        <is>
          <t>Wisbech Town Council</t>
        </is>
      </c>
      <c r="C45" s="10" t="inlineStr">
        <is>
          <t>живой</t>
        </is>
      </c>
      <c r="D45" s="33" t="inlineStr">
        <is>
          <t>подключён</t>
        </is>
      </c>
      <c r="E45" s="10" t="inlineStr">
        <is>
          <t>iCal</t>
        </is>
      </c>
      <c r="F45" s="10" t="inlineStr">
        <is>
          <t>https://www.wisbechtowncouncil.gov.uk/feeds/ical/638856?nodeid=2929</t>
        </is>
      </c>
      <c r="G45" s="10" t="inlineStr">
        <is>
          <t>iCal совета без заседаний: городские события (иллюминация, ярмарки)</t>
        </is>
      </c>
    </row>
    <row r="46">
      <c r="A46" s="10" t="inlineStr">
        <is>
          <t>S109</t>
        </is>
      </c>
      <c r="B46" s="10" t="inlineStr">
        <is>
          <t>March Town Council</t>
        </is>
      </c>
      <c r="C46" s="10" t="inlineStr">
        <is>
          <t>живой</t>
        </is>
      </c>
      <c r="D46" s="10" t="inlineStr">
        <is>
          <t>не нужен</t>
        </is>
      </c>
      <c r="E46" s="10" t="inlineStr">
        <is>
          <t>RSS</t>
        </is>
      </c>
      <c r="F46" s="10" t="inlineStr">
        <is>
          <t>https://www.marchtowncouncil.gov.uk/feed/</t>
        </is>
      </c>
      <c r="G46" s="10" t="inlineStr">
        <is>
          <t>RSS — новости и заседания</t>
        </is>
      </c>
    </row>
    <row r="47">
      <c r="A47" s="10" t="inlineStr">
        <is>
          <t>S110</t>
        </is>
      </c>
      <c r="B47" s="10" t="inlineStr">
        <is>
          <t>Chatteris Town Council</t>
        </is>
      </c>
      <c r="C47" s="10" t="inlineStr">
        <is>
          <t>живой</t>
        </is>
      </c>
      <c r="D47" s="10" t="inlineStr">
        <is>
          <t>не нужен</t>
        </is>
      </c>
      <c r="E47" s="10" t="inlineStr">
        <is>
          <t>RSS</t>
        </is>
      </c>
      <c r="F47" s="10" t="inlineStr">
        <is>
          <t>https://www.chatteristowncouncil.info/feed/</t>
        </is>
      </c>
      <c r="G47" s="10" t="inlineStr">
        <is>
          <t>RSS — новости и заседания</t>
        </is>
      </c>
    </row>
    <row r="48">
      <c r="A48" s="10" t="inlineStr">
        <is>
          <t>S111</t>
        </is>
      </c>
      <c r="B48" s="10" t="inlineStr">
        <is>
          <t>Whittlesey Town Council</t>
        </is>
      </c>
      <c r="C48" s="10" t="inlineStr">
        <is>
          <t>живой</t>
        </is>
      </c>
      <c r="D48" s="32" t="inlineStr">
        <is>
          <t>отложен</t>
        </is>
      </c>
      <c r="E48" s="10" t="inlineStr">
        <is>
          <t>RSS</t>
        </is>
      </c>
      <c r="F48" s="10" t="inlineStr">
        <is>
          <t>https://www.whittleseytowncouncil.gov.uk/feed/</t>
        </is>
      </c>
      <c r="G48" s="10" t="inlineStr">
        <is>
          <t>WordPress, раздел событий — разбор HTML</t>
        </is>
      </c>
    </row>
    <row r="49">
      <c r="A49" s="10" t="inlineStr">
        <is>
          <t>S112</t>
        </is>
      </c>
      <c r="B49" s="10" t="inlineStr">
        <is>
          <t>Soham Town Council</t>
        </is>
      </c>
      <c r="C49" s="10" t="inlineStr">
        <is>
          <t>закрыт</t>
        </is>
      </c>
      <c r="D49" s="19" t="inlineStr">
        <is>
          <t>закрыт</t>
        </is>
      </c>
      <c r="G49" s="10" t="inlineStr">
        <is>
          <t>soham-tc.gov.uk: robots.txt отвечает 403</t>
        </is>
      </c>
    </row>
    <row r="50">
      <c r="A50" s="10" t="inlineStr">
        <is>
          <t>S113</t>
        </is>
      </c>
      <c r="B50" s="10" t="inlineStr">
        <is>
          <t>Visit Ely</t>
        </is>
      </c>
      <c r="C50" s="10" t="inlineStr">
        <is>
          <t>живой</t>
        </is>
      </c>
      <c r="D50" s="32" t="inlineStr">
        <is>
          <t>отложен</t>
        </is>
      </c>
      <c r="E50" s="10" t="inlineStr">
        <is>
          <t>RSS</t>
        </is>
      </c>
      <c r="F50" s="10" t="inlineStr">
        <is>
          <t>https://www.visitely.org.uk/feed/</t>
        </is>
      </c>
      <c r="G50" s="10" t="inlineStr">
        <is>
          <t>WordPress (API закрыт, 401); события — разбор HTML</t>
        </is>
      </c>
    </row>
    <row r="51">
      <c r="A51" s="10" t="inlineStr">
        <is>
          <t>S114</t>
        </is>
      </c>
      <c r="B51" s="10" t="inlineStr">
        <is>
          <t>Visit Peterborough</t>
        </is>
      </c>
      <c r="C51" s="10" t="inlineStr">
        <is>
          <t>закрыт</t>
        </is>
      </c>
      <c r="D51" s="19" t="inlineStr">
        <is>
          <t>закрыт</t>
        </is>
      </c>
      <c r="G51" s="10" t="inlineStr">
        <is>
          <t>robots.txt отвечает 403</t>
        </is>
      </c>
    </row>
    <row r="52">
      <c r="A52" s="10" t="inlineStr">
        <is>
          <t>S115</t>
        </is>
      </c>
      <c r="B52" s="10" t="inlineStr">
        <is>
          <t>Visit Huntingdonshire</t>
        </is>
      </c>
      <c r="C52" s="10" t="inlineStr">
        <is>
          <t>живой</t>
        </is>
      </c>
      <c r="D52" s="32" t="inlineStr">
        <is>
          <t>отложен</t>
        </is>
      </c>
      <c r="E52" s="10" t="inlineStr">
        <is>
          <t>HTML</t>
        </is>
      </c>
      <c r="F52" s="10" t="inlineStr">
        <is>
          <t>https://www.discoverhuntingdonshire.co.uk</t>
        </is>
      </c>
      <c r="G52" s="10" t="inlineStr">
        <is>
          <t>cPortals, календарь HTML</t>
        </is>
      </c>
    </row>
    <row r="53">
      <c r="A53" s="10" t="inlineStr">
        <is>
          <t>S116</t>
        </is>
      </c>
      <c r="B53" s="10" t="inlineStr">
        <is>
          <t>Hunts Post</t>
        </is>
      </c>
      <c r="C53" s="10" t="inlineStr">
        <is>
          <t>живой</t>
        </is>
      </c>
      <c r="D53" s="32" t="inlineStr">
        <is>
          <t>нужно решение</t>
        </is>
      </c>
      <c r="E53" s="10" t="inlineStr">
        <is>
          <t>RSS</t>
        </is>
      </c>
      <c r="F53" s="10" t="inlineStr">
        <is>
          <t>http://www.huntspost.co.uk/things-to-do/rss/</t>
        </is>
      </c>
      <c r="G53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4">
      <c r="A54" s="10" t="inlineStr">
        <is>
          <t>S117</t>
        </is>
      </c>
      <c r="B54" s="10" t="inlineStr">
        <is>
          <t>Cambs Times</t>
        </is>
      </c>
      <c r="C54" s="10" t="inlineStr">
        <is>
          <t>живой</t>
        </is>
      </c>
      <c r="D54" s="32" t="inlineStr">
        <is>
          <t>нужно решение</t>
        </is>
      </c>
      <c r="E54" s="10" t="inlineStr">
        <is>
          <t>HTML</t>
        </is>
      </c>
      <c r="F54" s="10" t="inlineStr">
        <is>
          <t>https://www.cambstimes.co.uk</t>
        </is>
      </c>
      <c r="G54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5">
      <c r="A55" s="10" t="inlineStr">
        <is>
          <t>S118</t>
        </is>
      </c>
      <c r="B55" s="10" t="inlineStr">
        <is>
          <t>Wisbech Standard</t>
        </is>
      </c>
      <c r="C55" s="10" t="inlineStr">
        <is>
          <t>живой</t>
        </is>
      </c>
      <c r="D55" s="32" t="inlineStr">
        <is>
          <t>нужно решение</t>
        </is>
      </c>
      <c r="E55" s="10" t="inlineStr">
        <is>
          <t>HTML</t>
        </is>
      </c>
      <c r="F55" s="10" t="inlineStr">
        <is>
          <t>https://www.wisbechstandard.co.uk</t>
        </is>
      </c>
      <c r="G55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6">
      <c r="A56" s="10" t="inlineStr">
        <is>
          <t>S119</t>
        </is>
      </c>
      <c r="B56" s="10" t="inlineStr">
        <is>
          <t>Ely Standard</t>
        </is>
      </c>
      <c r="C56" s="10" t="inlineStr">
        <is>
          <t>живой</t>
        </is>
      </c>
      <c r="D56" s="32" t="inlineStr">
        <is>
          <t>нужно решение</t>
        </is>
      </c>
      <c r="E56" s="10" t="inlineStr">
        <is>
          <t>HTML</t>
        </is>
      </c>
      <c r="F56" s="10" t="inlineStr">
        <is>
          <t>https://www.elystandard.co.uk</t>
        </is>
      </c>
      <c r="G56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7">
      <c r="A57" s="10" t="inlineStr">
        <is>
          <t>S120</t>
        </is>
      </c>
      <c r="B57" s="10" t="inlineStr">
        <is>
          <t>Peterborough Cathedral</t>
        </is>
      </c>
      <c r="C57" s="10" t="inlineStr">
        <is>
          <t>закрыт</t>
        </is>
      </c>
      <c r="D57" s="10" t="inlineStr">
        <is>
          <t>не нужен</t>
        </is>
      </c>
      <c r="G57" s="10" t="inlineStr">
        <is>
          <t>HTTP 202 (бот-защита); концерты собора есть на Ents24/Skiddle (S128/S129)</t>
        </is>
      </c>
    </row>
    <row r="58">
      <c r="A58" s="10" t="inlineStr">
        <is>
          <t>S121</t>
        </is>
      </c>
      <c r="B58" s="10" t="inlineStr">
        <is>
          <t>Key Theatre (Peterborough)</t>
        </is>
      </c>
      <c r="C58" s="10" t="inlineStr">
        <is>
          <t>живой</t>
        </is>
      </c>
      <c r="D58" s="10" t="inlineStr">
        <is>
          <t>не нужен</t>
        </is>
      </c>
      <c r="E58" s="10" t="inlineStr">
        <is>
          <t>HTML</t>
        </is>
      </c>
      <c r="F58" s="10" t="inlineStr">
        <is>
          <t>https://keytheatre-peterborough.com</t>
        </is>
      </c>
      <c r="G58" s="10" t="inlineStr">
        <is>
          <t>покрыт Ents24/Skiddle по городу (S128/S129)</t>
        </is>
      </c>
    </row>
    <row r="59">
      <c r="A59" s="10" t="inlineStr">
        <is>
          <t>S122</t>
        </is>
      </c>
      <c r="B59" s="10" t="inlineStr">
        <is>
          <t>New Theatre Peterborough</t>
        </is>
      </c>
      <c r="C59" s="10" t="inlineStr">
        <is>
          <t>живой</t>
        </is>
      </c>
      <c r="D59" s="10" t="inlineStr">
        <is>
          <t>не нужен</t>
        </is>
      </c>
      <c r="E59" s="10" t="inlineStr">
        <is>
          <t>HTML</t>
        </is>
      </c>
      <c r="F59" s="10" t="inlineStr">
        <is>
          <t>https://newtheatre-peterborough.com/</t>
        </is>
      </c>
      <c r="G59" s="10" t="inlineStr">
        <is>
          <t>покрыт Ents24 по городу (S128)</t>
        </is>
      </c>
    </row>
    <row r="60">
      <c r="A60" s="10" t="inlineStr">
        <is>
          <t>S123</t>
        </is>
      </c>
      <c r="B60" s="10" t="inlineStr">
        <is>
          <t>Peterborough United — домашние матчи</t>
        </is>
      </c>
      <c r="C60" s="10" t="inlineStr">
        <is>
          <t>живой</t>
        </is>
      </c>
      <c r="D60" s="33" t="inlineStr">
        <is>
          <t>подключён</t>
        </is>
      </c>
      <c r="E60" s="10" t="inlineStr">
        <is>
          <t>iCal</t>
        </is>
      </c>
      <c r="F60" s="10" t="inlineStr">
        <is>
          <t>https://outlook.live.com/owa/?rru=addsubscription&amp;name=Peterborough+United+FC&amp;url=webcal://ics.fixtur.es/v2/home/peterborough-united-fc.ics</t>
        </is>
      </c>
      <c r="G60" s="10" t="inlineStr">
        <is>
          <t>iCal fixtur.es, домашние матчи</t>
        </is>
      </c>
    </row>
    <row r="61">
      <c r="A61" s="10" t="inlineStr">
        <is>
          <t>S124</t>
        </is>
      </c>
      <c r="B61" s="10" t="inlineStr">
        <is>
          <t>Royston — Town Council / события</t>
        </is>
      </c>
      <c r="C61" s="10" t="inlineStr">
        <is>
          <t>живой</t>
        </is>
      </c>
      <c r="D61" s="10" t="inlineStr">
        <is>
          <t>не нужен</t>
        </is>
      </c>
      <c r="E61" s="10" t="inlineStr">
        <is>
          <t>RSS</t>
        </is>
      </c>
      <c r="F61" s="10" t="inlineStr">
        <is>
          <t>https://www.roystontown.uk/feed/</t>
        </is>
      </c>
      <c r="G61" s="10" t="inlineStr">
        <is>
          <t>Royston — через Skiddle/Ents24 по городу (S128/S129)</t>
        </is>
      </c>
    </row>
    <row r="62">
      <c r="A62" s="10" t="inlineStr">
        <is>
          <t>S125</t>
        </is>
      </c>
      <c r="B62" s="10" t="inlineStr">
        <is>
          <t>Haverhill — Arts Centre / Town Council</t>
        </is>
      </c>
      <c r="C62" s="10" t="inlineStr">
        <is>
          <t>живой</t>
        </is>
      </c>
      <c r="D62" s="10" t="inlineStr">
        <is>
          <t>не нужен</t>
        </is>
      </c>
      <c r="E62" s="10" t="inlineStr">
        <is>
          <t>RSS</t>
        </is>
      </c>
      <c r="F62" s="10" t="inlineStr">
        <is>
          <t>https://haverhillartscentre.co.uk/haverhill-arts-centre-homepage/feed/</t>
        </is>
      </c>
      <c r="G62" s="10" t="inlineStr">
        <is>
          <t>Haverhill Arts Centre — через Ents24 по городу (S128)</t>
        </is>
      </c>
    </row>
    <row r="63">
      <c r="A63" s="10" t="inlineStr">
        <is>
          <t>S126</t>
        </is>
      </c>
      <c r="B63" s="10" t="inlineStr">
        <is>
          <t>Bury St Edmunds — Apex / Theatre Royal / Visit Bury</t>
        </is>
      </c>
      <c r="C63" s="10" t="inlineStr">
        <is>
          <t>живой</t>
        </is>
      </c>
      <c r="D63" s="10" t="inlineStr">
        <is>
          <t>не нужен</t>
        </is>
      </c>
      <c r="E63" s="10" t="inlineStr">
        <is>
          <t>RSS</t>
        </is>
      </c>
      <c r="F63" s="10" t="inlineStr">
        <is>
          <t>https://theatreroyal.org/feed/</t>
        </is>
      </c>
      <c r="G63" s="10" t="inlineStr">
        <is>
          <t>Apex и Theatre Royal — через Ents24 по городу (S128)</t>
        </is>
      </c>
    </row>
    <row r="64">
      <c r="A64" s="10" t="inlineStr">
        <is>
          <t>S127</t>
        </is>
      </c>
      <c r="B64" s="10" t="inlineStr">
        <is>
          <t>Saffron Walden / Newmarket — Town Councils</t>
        </is>
      </c>
      <c r="C64" s="10" t="inlineStr">
        <is>
          <t>частично</t>
        </is>
      </c>
      <c r="D64" s="19" t="inlineStr">
        <is>
          <t>закрыт</t>
        </is>
      </c>
      <c r="E64" s="10" t="inlineStr">
        <is>
          <t>iCal</t>
        </is>
      </c>
      <c r="F64" s="10" t="inlineStr">
        <is>
          <t>https://www.newmarket.gov.uk/events/?ical=1</t>
        </is>
      </c>
      <c r="G64" s="10" t="inlineStr">
        <is>
          <t>saffronwalden.gov.uk — 403; newmarket.gov.uk — robots.txt недоступен</t>
        </is>
      </c>
    </row>
    <row r="65">
      <c r="A65" s="10" t="inlineStr">
        <is>
          <t>S128</t>
        </is>
      </c>
      <c r="B65" s="10" t="inlineStr">
        <is>
          <t>Ents24 — города зоны</t>
        </is>
      </c>
      <c r="C65" s="10" t="inlineStr">
        <is>
          <t>живой</t>
        </is>
      </c>
      <c r="D65" s="33" t="inlineStr">
        <is>
          <t>подключён</t>
        </is>
      </c>
      <c r="E65" s="10" t="inlineStr">
        <is>
          <t>JSON-LD</t>
        </is>
      </c>
      <c r="F65" s="10" t="inlineStr">
        <is>
          <t>https://www.ents24.com/whatson/peterborough</t>
        </is>
      </c>
      <c r="G65" s="10" t="inlineStr">
        <is>
          <t>Ents24: 12 страниц городов зоны (расширение S006)</t>
        </is>
      </c>
    </row>
    <row r="66">
      <c r="A66" s="10" t="inlineStr">
        <is>
          <t>S129</t>
        </is>
      </c>
      <c r="B66" s="10" t="inlineStr">
        <is>
          <t>Skiddle — города зоны</t>
        </is>
      </c>
      <c r="C66" s="10" t="inlineStr">
        <is>
          <t>живой</t>
        </is>
      </c>
      <c r="D66" s="33" t="inlineStr">
        <is>
          <t>подключён</t>
        </is>
      </c>
      <c r="E66" s="10" t="inlineStr">
        <is>
          <t>JSON-LD</t>
        </is>
      </c>
      <c r="F66" s="10" t="inlineStr">
        <is>
          <t>https://www.skiddle.com/whats-on/Peterborough/</t>
        </is>
      </c>
      <c r="G66" s="10" t="inlineStr">
        <is>
          <t>Skiddle: 12 страниц городов зоны (расширение S007)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8" customWidth="1" style="11" min="1" max="1"/>
    <col width="45" customWidth="1" style="11" min="2" max="2"/>
    <col width="28" customWidth="1" style="11" min="3" max="3"/>
    <col width="12" customWidth="1" style="11" min="4" max="4"/>
    <col width="14" customWidth="1" style="11" min="5" max="5"/>
    <col width="18" customWidth="1" style="11" min="6" max="6"/>
    <col width="100" customWidth="1" style="11" min="7" max="7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Блок</t>
        </is>
      </c>
      <c r="D1" s="20" t="inlineStr">
        <is>
          <t>Состояние</t>
        </is>
      </c>
      <c r="E1" s="20" t="inlineStr">
        <is>
          <t>Решение</t>
        </is>
      </c>
      <c r="F1" s="20" t="inlineStr">
        <is>
          <t>Новых уникальных (будущие, в зоне)</t>
        </is>
      </c>
      <c r="G1" s="20" t="inlineStr">
        <is>
          <t>Примечание</t>
        </is>
      </c>
    </row>
    <row r="2">
      <c r="A2" t="inlineStr">
        <is>
          <t>S001</t>
        </is>
      </c>
      <c r="B2" t="inlineStr">
        <is>
          <t>Visit Cambridge — events</t>
        </is>
      </c>
      <c r="C2" t="inlineStr">
        <is>
          <t>HTML-источники P1</t>
        </is>
      </c>
      <c r="D2" t="inlineStr">
        <is>
          <t>живой</t>
        </is>
      </c>
      <c r="E2" s="33" t="inlineStr">
        <is>
          <t>подключён</t>
        </is>
      </c>
      <c r="F2" t="n">
        <v>83</v>
      </c>
      <c r="G2" t="inlineStr">
        <is>
          <t>7 разделов /event-categories/ (постранично) + страницы событий; раздел family-friendly → категория family</t>
        </is>
      </c>
    </row>
    <row r="3">
      <c r="A3" t="inlineStr">
        <is>
          <t>S012</t>
        </is>
      </c>
      <c r="B3" t="inlineStr">
        <is>
          <t>Cambridge Junction</t>
        </is>
      </c>
      <c r="C3" t="inlineStr">
        <is>
          <t>HTML-источники P1</t>
        </is>
      </c>
      <c r="D3" t="inlineStr">
        <is>
          <t>живой</t>
        </is>
      </c>
      <c r="E3" s="33" t="inlineStr">
        <is>
          <t>подключён</t>
        </is>
      </c>
      <c r="F3" t="n">
        <v>239</v>
      </c>
      <c r="G3" t="inlineStr">
        <is>
          <t>HTML /whats-on/page/N + страницы событий («Event Information»: дата, время, цена); кэш страниц</t>
        </is>
      </c>
    </row>
    <row r="4">
      <c r="A4" t="inlineStr">
        <is>
          <t>S026</t>
        </is>
      </c>
      <c r="B4" t="inlineStr">
        <is>
          <t>Chariots of Fire</t>
        </is>
      </c>
      <c r="C4" t="inlineStr">
        <is>
          <t>HTML-источники P1</t>
        </is>
      </c>
      <c r="D4" t="inlineStr">
        <is>
          <t>живой</t>
        </is>
      </c>
      <c r="E4" t="inlineStr">
        <is>
          <t>ежегодное</t>
        </is>
      </c>
      <c r="F4" t="inlineStr">
        <is>
          <t>—</t>
        </is>
      </c>
      <c r="G4" t="inlineStr">
        <is>
          <t>через recurring_events (R11)</t>
        </is>
      </c>
    </row>
    <row r="5">
      <c r="A5" t="inlineStr">
        <is>
          <t>S028</t>
        </is>
      </c>
      <c r="B5" t="inlineStr">
        <is>
          <t>Cambridge Half Marathon</t>
        </is>
      </c>
      <c r="C5" t="inlineStr">
        <is>
          <t>HTML-источники P1</t>
        </is>
      </c>
      <c r="D5" t="inlineStr">
        <is>
          <t>живой</t>
        </is>
      </c>
      <c r="E5" t="inlineStr">
        <is>
          <t>ежегодное</t>
        </is>
      </c>
      <c r="F5" t="inlineStr">
        <is>
          <t>—</t>
        </is>
      </c>
      <c r="G5" t="inlineStr">
        <is>
          <t>через recurring_events (R03)</t>
        </is>
      </c>
    </row>
    <row r="6">
      <c r="A6" t="inlineStr">
        <is>
          <t>S030</t>
        </is>
      </c>
      <c r="B6" t="inlineStr">
        <is>
          <t>Cambridge Festival (университет)</t>
        </is>
      </c>
      <c r="C6" t="inlineStr">
        <is>
          <t>HTML-источники P1</t>
        </is>
      </c>
      <c r="D6" t="inlineStr">
        <is>
          <t>живой</t>
        </is>
      </c>
      <c r="E6" t="inlineStr">
        <is>
          <t>ежегодное</t>
        </is>
      </c>
      <c r="F6" t="inlineStr">
        <is>
          <t>—</t>
        </is>
      </c>
      <c r="G6" t="inlineStr">
        <is>
          <t>Cambridge Festival — весна; дата через recurring_events (R04); коллектор программы — перед фестивалем (март)</t>
        </is>
      </c>
    </row>
    <row r="7">
      <c r="A7" t="inlineStr">
        <is>
          <t>S031</t>
        </is>
      </c>
      <c r="B7" t="inlineStr">
        <is>
          <t>Cambridge Folk Festival</t>
        </is>
      </c>
      <c r="C7" t="inlineStr">
        <is>
          <t>HTML-источники P1</t>
        </is>
      </c>
      <c r="D7" t="inlineStr">
        <is>
          <t>живой</t>
        </is>
      </c>
      <c r="E7" t="inlineStr">
        <is>
          <t>ежегодное</t>
        </is>
      </c>
      <c r="F7" t="inlineStr">
        <is>
          <t>—</t>
        </is>
      </c>
      <c r="G7" t="inlineStr">
        <is>
          <t>через recurring_events (R09)</t>
        </is>
      </c>
    </row>
    <row r="8">
      <c r="A8" t="inlineStr">
        <is>
          <t>S041</t>
        </is>
      </c>
      <c r="B8" t="inlineStr">
        <is>
          <t>Cambridge Arts Theatre</t>
        </is>
      </c>
      <c r="C8" t="inlineStr">
        <is>
          <t>HTML-источники P1</t>
        </is>
      </c>
      <c r="D8" t="inlineStr">
        <is>
          <t>закрыт</t>
        </is>
      </c>
      <c r="E8" t="inlineStr">
        <is>
          <t>покрыт</t>
        </is>
      </c>
      <c r="F8" t="inlineStr">
        <is>
          <t>—</t>
        </is>
      </c>
      <c r="G8" t="inlineStr">
        <is>
          <t>защита от ботов; афиша — через Ents24 (S006)</t>
        </is>
      </c>
    </row>
    <row r="9">
      <c r="A9" t="inlineStr">
        <is>
          <t>S045</t>
        </is>
      </c>
      <c r="B9" t="inlineStr">
        <is>
          <t>Arts Picturehouse</t>
        </is>
      </c>
      <c r="C9" t="inlineStr">
        <is>
          <t>HTML-источники P1</t>
        </is>
      </c>
      <c r="D9" t="inlineStr">
        <is>
          <t>живой</t>
        </is>
      </c>
      <c r="E9" t="inlineStr">
        <is>
          <t>не нужен</t>
        </is>
      </c>
      <c r="F9" t="inlineStr">
        <is>
          <t>—</t>
        </is>
      </c>
      <c r="G9" t="inlineStr">
        <is>
          <t>сеансы — только через внутренний AJAX с XSRF-токеном сессии (не используем); обычные сеансы — не события выпуска; спецпоказы приходят через Visit Cambridge, статьи и Cambridge Film Festival (recurring R17)</t>
        </is>
      </c>
    </row>
    <row r="10">
      <c r="A10" t="inlineStr">
        <is>
          <t>S048</t>
        </is>
      </c>
      <c r="B10" t="inlineStr">
        <is>
          <t>University of Cambridge — What's On</t>
        </is>
      </c>
      <c r="C10" t="inlineStr">
        <is>
          <t>HTML-источники P1</t>
        </is>
      </c>
      <c r="D10" t="inlineStr">
        <is>
          <t>живой</t>
        </is>
      </c>
      <c r="E10" s="33" t="inlineStr">
        <is>
          <t>подключён</t>
        </is>
      </c>
      <c r="F10" t="n">
        <v>41</v>
      </c>
      <c r="G10" t="inlineStr">
        <is>
          <t>недельные страницы admin.cam.ac.uk/whatson (3 недели) + раздел Families; iCal/RSS на webservices закрыты robots.txt — не используем</t>
        </is>
      </c>
    </row>
    <row r="11">
      <c r="A11" t="inlineStr">
        <is>
          <t>S052</t>
        </is>
      </c>
      <c r="B11" t="inlineStr">
        <is>
          <t>University of Cambridge Museums (сводный)</t>
        </is>
      </c>
      <c r="C11" t="inlineStr">
        <is>
          <t>HTML-источники P1</t>
        </is>
      </c>
      <c r="D11" t="inlineStr">
        <is>
          <t>живой</t>
        </is>
      </c>
      <c r="E11" s="33" t="inlineStr">
        <is>
          <t>подключён</t>
        </is>
      </c>
      <c r="F11" t="n">
        <v>87</v>
      </c>
      <c r="G11" t="inlineStr">
        <is>
          <t>сводная афиша 8 музеев (HTML, один запрос на весь список) + 4 запроса по фильтрам «для кого»/«тип» → категория family по разметке музеев</t>
        </is>
      </c>
    </row>
    <row r="12">
      <c r="A12" t="inlineStr">
        <is>
          <t>S056</t>
        </is>
      </c>
      <c r="B12" t="inlineStr">
        <is>
          <t>Семейные программы музеев</t>
        </is>
      </c>
      <c r="C12" t="inlineStr">
        <is>
          <t>HTML-источники P1</t>
        </is>
      </c>
      <c r="D12" t="inlineStr">
        <is>
          <t>—</t>
        </is>
      </c>
      <c r="E12" t="inlineStr">
        <is>
          <t>производный</t>
        </is>
      </c>
      <c r="F12" t="inlineStr">
        <is>
          <t>—</t>
        </is>
      </c>
      <c r="G12" t="inlineStr">
        <is>
          <t>тег «дети» из музейных источников — теперь по разметке S052/S048/S001 (категория family) и KIDS_RE</t>
        </is>
      </c>
    </row>
    <row r="13">
      <c r="A13" t="inlineStr">
        <is>
          <t>S062</t>
        </is>
      </c>
      <c r="B13" t="inlineStr">
        <is>
          <t>Комедия на Corn Exchange / Junction / ADC</t>
        </is>
      </c>
      <c r="C13" t="inlineStr">
        <is>
          <t>HTML-источники P1</t>
        </is>
      </c>
      <c r="D13" t="inlineStr">
        <is>
          <t>—</t>
        </is>
      </c>
      <c r="E13" t="inlineStr">
        <is>
          <t>производный</t>
        </is>
      </c>
      <c r="F13" t="inlineStr">
        <is>
          <t>—</t>
        </is>
      </c>
      <c r="G13" t="inlineStr">
        <is>
          <t>тег «комедия» из S011, S012, S042</t>
        </is>
      </c>
    </row>
    <row r="14">
      <c r="A14" t="inlineStr">
        <is>
          <t>S065</t>
        </is>
      </c>
      <c r="B14" t="inlineStr">
        <is>
          <t>Open Cambridge</t>
        </is>
      </c>
      <c r="C14" t="inlineStr">
        <is>
          <t>HTML-источники P1</t>
        </is>
      </c>
      <c r="D14" t="inlineStr">
        <is>
          <t>живой</t>
        </is>
      </c>
      <c r="E14" t="inlineStr">
        <is>
          <t>ежегодное</t>
        </is>
      </c>
      <c r="F14" t="inlineStr">
        <is>
          <t>—</t>
        </is>
      </c>
      <c r="G14" t="inlineStr">
        <is>
          <t>через recurring_events (R12)</t>
        </is>
      </c>
    </row>
    <row r="15">
      <c r="A15" t="inlineStr">
        <is>
          <t>S069</t>
        </is>
      </c>
      <c r="B15" t="inlineStr">
        <is>
          <t>Cambridge University Botanic Garden</t>
        </is>
      </c>
      <c r="C15" t="inlineStr">
        <is>
          <t>HTML-источники P1</t>
        </is>
      </c>
      <c r="D15" t="inlineStr">
        <is>
          <t>живой</t>
        </is>
      </c>
      <c r="E15" s="33" t="inlineStr">
        <is>
          <t>подключён</t>
        </is>
      </c>
      <c r="F15" t="n">
        <v>17</v>
      </c>
      <c r="G15" t="inlineStr">
        <is>
          <t>HTML /whats-on/ + страницы событий; часть событий есть и в S052</t>
        </is>
      </c>
    </row>
    <row r="16">
      <c r="A16" t="inlineStr">
        <is>
          <t>S070</t>
        </is>
      </c>
      <c r="B16" t="inlineStr">
        <is>
          <t>National Trust: Wimpole, Anglesey Abbey, Wicken Fen</t>
        </is>
      </c>
      <c r="C16" t="inlineStr">
        <is>
          <t>HTML-источники P1</t>
        </is>
      </c>
      <c r="D16" t="inlineStr">
        <is>
          <t>закрыт</t>
        </is>
      </c>
      <c r="E16" s="32" t="inlineStr">
        <is>
          <t>вручную</t>
        </is>
      </c>
      <c r="F16" t="inlineStr">
        <is>
          <t>—</t>
        </is>
      </c>
      <c r="G16" t="inlineStr">
        <is>
          <t>National Trust — защита Radware; ручной сезонный календарь</t>
        </is>
      </c>
    </row>
    <row r="17">
      <c r="A17" t="inlineStr">
        <is>
          <t>S081</t>
        </is>
      </c>
      <c r="B17" t="inlineStr">
        <is>
          <t>Thriplow Daffodil Weekend</t>
        </is>
      </c>
      <c r="C17" t="inlineStr">
        <is>
          <t>HTML-источники P1</t>
        </is>
      </c>
      <c r="D17" t="inlineStr">
        <is>
          <t>живой</t>
        </is>
      </c>
      <c r="E17" t="inlineStr">
        <is>
          <t>ежегодное</t>
        </is>
      </c>
      <c r="F17" t="inlineStr">
        <is>
          <t>—</t>
        </is>
      </c>
      <c r="G17" t="inlineStr">
        <is>
          <t>через recurring_events (R02)</t>
        </is>
      </c>
    </row>
    <row r="18">
      <c r="A18" t="inlineStr">
        <is>
          <t>S082</t>
        </is>
      </c>
      <c r="B18" t="inlineStr">
        <is>
          <t>Cambridge Dragon Boat Festival (ACT)</t>
        </is>
      </c>
      <c r="C18" t="inlineStr">
        <is>
          <t>HTML-источники P1</t>
        </is>
      </c>
      <c r="D18" t="inlineStr">
        <is>
          <t>живой</t>
        </is>
      </c>
      <c r="E18" t="inlineStr">
        <is>
          <t>ежегодное</t>
        </is>
      </c>
      <c r="F18" t="inlineStr">
        <is>
          <t>—</t>
        </is>
      </c>
      <c r="G18" t="inlineStr">
        <is>
          <t>через recurring_events (R10)</t>
        </is>
      </c>
    </row>
    <row r="19">
      <c r="A19" t="inlineStr">
        <is>
          <t>S089</t>
        </is>
      </c>
      <c r="B19" t="inlineStr">
        <is>
          <t>Town and Gown 10k</t>
        </is>
      </c>
      <c r="C19" t="inlineStr">
        <is>
          <t>HTML-источники P1</t>
        </is>
      </c>
      <c r="D19" t="inlineStr">
        <is>
          <t>закрыт</t>
        </is>
      </c>
      <c r="E19" t="inlineStr">
        <is>
          <t>ежегодное</t>
        </is>
      </c>
      <c r="F19" t="inlineStr">
        <is>
          <t>—</t>
        </is>
      </c>
      <c r="G19" t="inlineStr">
        <is>
          <t>Cloudflare; через статьи и recurring_events (R14, вручную)</t>
        </is>
      </c>
    </row>
    <row r="20">
      <c r="A20" t="inlineStr">
        <is>
          <t>S090</t>
        </is>
      </c>
      <c r="B20" t="inlineStr">
        <is>
          <t>DesignMyNight — Cambridge</t>
        </is>
      </c>
      <c r="C20" t="inlineStr">
        <is>
          <t>HTML-источники P1</t>
        </is>
      </c>
      <c r="D20" t="inlineStr">
        <is>
          <t>закрыт</t>
        </is>
      </c>
      <c r="E20" t="inlineStr">
        <is>
          <t>не собираем</t>
        </is>
      </c>
      <c r="F20" t="inlineStr">
        <is>
          <t>—</t>
        </is>
      </c>
      <c r="G20" t="inlineStr">
        <is>
          <t>robots.txt запрещает раздел событий</t>
        </is>
      </c>
    </row>
    <row r="21">
      <c r="A21" t="inlineStr">
        <is>
          <t>S054</t>
        </is>
      </c>
      <c r="B21" t="inlineStr">
        <is>
          <t>Cambridge Science Centre</t>
        </is>
      </c>
      <c r="C21" t="inlineStr">
        <is>
          <t>Семейные источники</t>
        </is>
      </c>
      <c r="D21" t="inlineStr">
        <is>
          <t>живой</t>
        </is>
      </c>
      <c r="E21" s="33" t="inlineStr">
        <is>
          <t>подключён</t>
        </is>
      </c>
      <c r="F21" t="n">
        <v>9</v>
      </c>
      <c r="G21" t="inlineStr">
        <is>
          <t>ссылки — из RSS /whats-on/feed/, дата и время — со страницы события; все события — семейные (family)</t>
        </is>
      </c>
    </row>
    <row r="22">
      <c r="A22" t="inlineStr">
        <is>
          <t>S055</t>
        </is>
      </c>
      <c r="B22" t="inlineStr">
        <is>
          <t>Библиотеки Cambridgeshire</t>
        </is>
      </c>
      <c r="C22" t="inlineStr">
        <is>
          <t>Семейные источники</t>
        </is>
      </c>
      <c r="D22" t="inlineStr">
        <is>
          <t>живой</t>
        </is>
      </c>
      <c r="E22" s="33" t="inlineStr">
        <is>
          <t>подключён</t>
        </is>
      </c>
      <c r="F22" t="n">
        <v>12</v>
      </c>
      <c r="G22" t="inlineStr">
        <is>
          <t>события библиотек — на Eventbrite (страница организатора со страницы совета), JSON-LD страниц событий; серии помечены «recurring series»</t>
        </is>
      </c>
    </row>
    <row r="23">
      <c r="A23" t="inlineStr">
        <is>
          <t>S100</t>
        </is>
      </c>
      <c r="B23" t="inlineStr">
        <is>
          <t>Huntingdonshire District Council</t>
        </is>
      </c>
      <c r="C23" t="inlineStr">
        <is>
          <t>Семейные источники</t>
        </is>
      </c>
      <c r="D23" t="inlineStr">
        <is>
          <t>закрыт</t>
        </is>
      </c>
      <c r="E23" s="19" t="inlineStr">
        <is>
          <t>закрыт</t>
        </is>
      </c>
      <c r="F23" t="inlineStr">
        <is>
          <t>—</t>
        </is>
      </c>
      <c r="G23" t="inlineStr">
        <is>
          <t>Hinchingbrooke Country Park: события только на TicketSource (robots.txt отвечает 403 — считаем запретом) и в Facebook (не парсим); страница совета без дат — проверить на этапе 6b через поиск</t>
        </is>
      </c>
    </row>
    <row r="24">
      <c r="A24" t="inlineStr">
        <is>
          <t>S130</t>
        </is>
      </c>
      <c r="B24" t="inlineStr">
        <is>
          <t>Museum of Cambridge</t>
        </is>
      </c>
      <c r="C24" t="inlineStr">
        <is>
          <t>Семейные источники</t>
        </is>
      </c>
      <c r="D24" t="inlineStr">
        <is>
          <t>живой</t>
        </is>
      </c>
      <c r="E24" s="33" t="inlineStr">
        <is>
          <t>подключён</t>
        </is>
      </c>
      <c r="F24" t="n">
        <v>7</v>
      </c>
      <c r="G24" t="inlineStr">
        <is>
          <t>Museum of Cambridge — REST The Events Calendar</t>
        </is>
      </c>
    </row>
    <row r="25">
      <c r="A25" t="inlineStr">
        <is>
          <t>S131</t>
        </is>
      </c>
      <c r="B25" t="inlineStr">
        <is>
          <t>Cambridge Past, Present &amp; Future (Wandlebury, Leper Chapel, Hinxton Watermill…)</t>
        </is>
      </c>
      <c r="C25" t="inlineStr">
        <is>
          <t>Семейные источники</t>
        </is>
      </c>
      <c r="D25" t="inlineStr">
        <is>
          <t>живой</t>
        </is>
      </c>
      <c r="E25" s="33" t="inlineStr">
        <is>
          <t>подключён</t>
        </is>
      </c>
      <c r="F25" t="n">
        <v>106</v>
      </c>
      <c r="G25" t="inlineStr">
        <is>
          <t>Cambridge Past, Present &amp; Future: Wandlebury, Leper Chapel, Hinxton Watermill, Coton, Bourn Windmill, Grantchester — список /events-list/ (Eventin), один запрос</t>
        </is>
      </c>
    </row>
    <row r="26">
      <c r="A26" t="inlineStr">
        <is>
          <t>S134</t>
        </is>
      </c>
      <c r="B26" t="inlineStr">
        <is>
          <t>Centre for Computing History</t>
        </is>
      </c>
      <c r="C26" t="inlineStr">
        <is>
          <t>Семейные источники</t>
        </is>
      </c>
      <c r="D26" t="inlineStr">
        <is>
          <t>живой</t>
        </is>
      </c>
      <c r="E26" s="33" t="inlineStr">
        <is>
          <t>подключён</t>
        </is>
      </c>
      <c r="F26" t="n">
        <v>6</v>
      </c>
      <c r="G26" t="inlineStr">
        <is>
          <t>Centre for Computing History — страница What's On, дата и название в ссылке</t>
        </is>
      </c>
    </row>
    <row r="27">
      <c r="A27" t="inlineStr">
        <is>
          <t>S132</t>
        </is>
      </c>
      <c r="B27" t="inlineStr">
        <is>
          <t>Milton Country Park</t>
        </is>
      </c>
      <c r="C27" t="inlineStr">
        <is>
          <t>Семейные места и аттракционы</t>
        </is>
      </c>
      <c r="D27" t="inlineStr">
        <is>
          <t>живой</t>
        </is>
      </c>
      <c r="E27" s="33" t="inlineStr">
        <is>
          <t>подключён</t>
        </is>
      </c>
      <c r="F27" t="n">
        <v>7</v>
      </c>
      <c r="G27" t="inlineStr">
        <is>
          <t>Milton Country Park (Wix): список /events — название, день, место</t>
        </is>
      </c>
    </row>
    <row r="28">
      <c r="A28" t="inlineStr">
        <is>
          <t>S133</t>
        </is>
      </c>
      <c r="B28" t="inlineStr">
        <is>
          <t>Nene Park / Ferry Meadows</t>
        </is>
      </c>
      <c r="C28" t="inlineStr">
        <is>
          <t>Семейные места и аттракционы</t>
        </is>
      </c>
      <c r="D28" t="inlineStr">
        <is>
          <t>закрыт</t>
        </is>
      </c>
      <c r="E28" s="32" t="inlineStr">
        <is>
          <t>отложен</t>
        </is>
      </c>
      <c r="F28" t="inlineStr">
        <is>
          <t>—</t>
        </is>
      </c>
      <c r="G28" t="inlineStr">
        <is>
          <t>Nene Park / Ferry Meadows: при проверке JSON-LD Event на /events/ (24 события), но при сборе сайт начал обрывать соединение и отвечать 403 — защита от ботов, не обходим; коллектор написан (family_misc.NenePark), из прогона убран — повторить позже / этап 6b</t>
        </is>
      </c>
    </row>
    <row r="29">
      <c r="A29" t="inlineStr">
        <is>
          <t>S135</t>
        </is>
      </c>
      <c r="B29" t="inlineStr">
        <is>
          <t>Shepreth Wildlife Park</t>
        </is>
      </c>
      <c r="C29" t="inlineStr">
        <is>
          <t>Семейные места и аттракционы</t>
        </is>
      </c>
      <c r="D29" t="inlineStr">
        <is>
          <t>закрыт</t>
        </is>
      </c>
      <c r="E29" s="19" t="inlineStr">
        <is>
          <t>закрыт</t>
        </is>
      </c>
      <c r="F29" t="inlineStr">
        <is>
          <t>—</t>
        </is>
      </c>
      <c r="G29" t="inlineStr">
        <is>
          <t>Shepreth Wildlife Park: сайт отвечает 403 / обрывает соединение — не обходим; этап 6b</t>
        </is>
      </c>
    </row>
    <row r="30">
      <c r="A30" t="inlineStr">
        <is>
          <t>S136</t>
        </is>
      </c>
      <c r="B30" t="inlineStr">
        <is>
          <t>Linton Zoo</t>
        </is>
      </c>
      <c r="C30" t="inlineStr">
        <is>
          <t>Семейные места и аттракционы</t>
        </is>
      </c>
      <c r="D30" t="inlineStr">
        <is>
          <t>живой</t>
        </is>
      </c>
      <c r="E30" t="inlineStr">
        <is>
          <t>не нужен</t>
        </is>
      </c>
      <c r="F30" t="inlineStr">
        <is>
          <t>—</t>
        </is>
      </c>
      <c r="G30" t="inlineStr">
        <is>
          <t>Linton Zoo: на сайте и в DigiTickets — только входные билеты, событий нет; сезонные события — через статьи</t>
        </is>
      </c>
    </row>
    <row r="31">
      <c r="A31" t="inlineStr">
        <is>
          <t>S137</t>
        </is>
      </c>
      <c r="B31" t="inlineStr">
        <is>
          <t>Hamerton Zoo Park</t>
        </is>
      </c>
      <c r="C31" t="inlineStr">
        <is>
          <t>Семейные места и аттракционы</t>
        </is>
      </c>
      <c r="D31" t="inlineStr">
        <is>
          <t>закрыт</t>
        </is>
      </c>
      <c r="E31" s="19" t="inlineStr">
        <is>
          <t>закрыт</t>
        </is>
      </c>
      <c r="F31" t="inlineStr">
        <is>
          <t>—</t>
        </is>
      </c>
      <c r="G31" t="inlineStr">
        <is>
          <t>Hamerton Zoo Park: 429 на robots.txt и главную — считаем запретом, повторить на этапе 6b</t>
        </is>
      </c>
    </row>
    <row r="32">
      <c r="A32" t="inlineStr">
        <is>
          <t>S138</t>
        </is>
      </c>
      <c r="B32" t="inlineStr">
        <is>
          <t>Wimpole Home Farm (National Trust)</t>
        </is>
      </c>
      <c r="C32" t="inlineStr">
        <is>
          <t>Семейные места и аттракционы</t>
        </is>
      </c>
      <c r="D32" t="inlineStr">
        <is>
          <t>закрыт</t>
        </is>
      </c>
      <c r="E32" s="32" t="inlineStr">
        <is>
          <t>вручную</t>
        </is>
      </c>
      <c r="F32" t="inlineStr">
        <is>
          <t>—</t>
        </is>
      </c>
      <c r="G32" t="inlineStr">
        <is>
          <t>Wimpole Home Farm — National Trust (S070): защита Radware, ручной сезонный календарь</t>
        </is>
      </c>
    </row>
    <row r="33">
      <c r="A33" t="inlineStr">
        <is>
          <t>S139</t>
        </is>
      </c>
      <c r="B33" t="inlineStr">
        <is>
          <t>Audley End House (English Heritage)</t>
        </is>
      </c>
      <c r="C33" t="inlineStr">
        <is>
          <t>Семейные места и аттракционы</t>
        </is>
      </c>
      <c r="D33" t="inlineStr">
        <is>
          <t>живой</t>
        </is>
      </c>
      <c r="E33" s="32" t="inlineStr">
        <is>
          <t>отложен</t>
        </is>
      </c>
      <c r="F33" t="inlineStr">
        <is>
          <t>—</t>
        </is>
      </c>
      <c r="G33" t="inlineStr">
        <is>
          <t>Audley End (English Heritage): события на странице загружаются скриптом, в HTML дат нет; JSON-LD нет — этап 6b (поиск) или ручной сезонный календарь</t>
        </is>
      </c>
    </row>
    <row r="34">
      <c r="A34" t="inlineStr">
        <is>
          <t>S140</t>
        </is>
      </c>
      <c r="B34" t="inlineStr">
        <is>
          <t>Woburn Safari Park</t>
        </is>
      </c>
      <c r="C34" t="inlineStr">
        <is>
          <t>Семейные места и аттракционы</t>
        </is>
      </c>
      <c r="D34" t="inlineStr">
        <is>
          <t>живой</t>
        </is>
      </c>
      <c r="E34" s="32" t="inlineStr">
        <is>
          <t>отложен</t>
        </is>
      </c>
      <c r="F34" t="inlineStr">
        <is>
          <t>—</t>
        </is>
      </c>
      <c r="G34" t="inlineStr">
        <is>
          <t>Woburn Safari Park: страница событий отвечает 500; вне графства, ~55 км — только события ≥ 7 по правилу 40–60 км</t>
        </is>
      </c>
    </row>
    <row r="35">
      <c r="A35" t="inlineStr">
        <is>
          <t>S039</t>
        </is>
      </c>
      <c r="B35" t="inlineStr">
        <is>
          <t>Рождественские маркеты в центре</t>
        </is>
      </c>
      <c r="C35" t="inlineStr">
        <is>
          <t>Поля, церкви, ярмарки</t>
        </is>
      </c>
      <c r="D35" t="inlineStr">
        <is>
          <t>живой</t>
        </is>
      </c>
      <c r="E35" t="inlineStr">
        <is>
          <t>ежегодное</t>
        </is>
      </c>
      <c r="F35" t="inlineStr">
        <is>
          <t>—</t>
        </is>
      </c>
      <c r="G35" t="inlineStr">
        <is>
          <t>Christmas in Cambridge (Parker's Piece: каток, маркет, колесо) — recurring R21, дата со страницы (13.11.2026 – 3.01.2027)</t>
        </is>
      </c>
    </row>
    <row r="36">
      <c r="A36" t="inlineStr">
        <is>
          <t>S071</t>
        </is>
      </c>
      <c r="B36" t="inlineStr">
        <is>
          <t>Ely Cathedral</t>
        </is>
      </c>
      <c r="C36" t="inlineStr">
        <is>
          <t>Поля, церкви, ярмарки</t>
        </is>
      </c>
      <c r="D36" t="inlineStr">
        <is>
          <t>живой</t>
        </is>
      </c>
      <c r="E36" s="33" t="inlineStr">
        <is>
          <t>подключён</t>
        </is>
      </c>
      <c r="F36" t="n">
        <v>29</v>
      </c>
      <c r="G36" t="inlineStr">
        <is>
          <t>Ely Cathedral: карточки /events (дата + название), один запрос; отложен в P2 на этапе 5</t>
        </is>
      </c>
    </row>
    <row r="37">
      <c r="A37" t="inlineStr">
        <is>
          <t>S141</t>
        </is>
      </c>
      <c r="B37" t="inlineStr">
        <is>
          <t>A Church Near You (Church of England)</t>
        </is>
      </c>
      <c r="C37" t="inlineStr">
        <is>
          <t>Поля, церкви, ярмарки</t>
        </is>
      </c>
      <c r="D37" t="inlineStr">
        <is>
          <t>живой</t>
        </is>
      </c>
      <c r="E37" t="inlineStr">
        <is>
          <t>не нужен</t>
        </is>
      </c>
      <c r="F37" t="inlineStr">
        <is>
          <t>—</t>
        </is>
      </c>
      <c r="G37" t="inlineStr">
        <is>
          <t>A Church Near You: robots.txt разрешает (кроме /christmas/events/), но события — по страницам каждого прихода (сотни в епархии Ely) и в основном регулярные службы; единого источника на графство нет. Концерты крупных церквей уже приходят через Ents24 (King's Chapel, Great St Mary's), University What's On (обеденные концерты GSM) и Visit Cambridge; пропуски — проверить на этапе 6b</t>
        </is>
      </c>
    </row>
    <row r="38">
      <c r="A38" t="inlineStr">
        <is>
          <t>S142</t>
        </is>
      </c>
      <c r="B38" t="inlineStr">
        <is>
          <t>ChurchSuite</t>
        </is>
      </c>
      <c r="C38" t="inlineStr">
        <is>
          <t>Поля, церкви, ярмарки</t>
        </is>
      </c>
      <c r="D38" t="inlineStr">
        <is>
          <t>закрыт</t>
        </is>
      </c>
      <c r="E38" s="19" t="inlineStr">
        <is>
          <t>закрыт</t>
        </is>
      </c>
      <c r="F38" t="inlineStr">
        <is>
          <t>—</t>
        </is>
      </c>
      <c r="G38" t="inlineStr">
        <is>
          <t>ChurchSuite: churchsuite.com за Cloudflare (403) — не обходим; календари отдельных приходов (&lt;приход&gt;.churchsuite.com) — если найдутся на этапе 6b</t>
        </is>
      </c>
    </row>
    <row r="39">
      <c r="A39" t="inlineStr">
        <is>
          <t>S143</t>
        </is>
      </c>
      <c r="B39" t="inlineStr">
        <is>
          <t>King's College Chapel</t>
        </is>
      </c>
      <c r="C39" t="inlineStr">
        <is>
          <t>Поля, церкви, ярмарки</t>
        </is>
      </c>
      <c r="D39" t="inlineStr">
        <is>
          <t>живой</t>
        </is>
      </c>
      <c r="E39" t="inlineStr">
        <is>
          <t>покрыт</t>
        </is>
      </c>
      <c r="F39" t="inlineStr">
        <is>
          <t>—</t>
        </is>
      </c>
      <c r="G39" t="inlineStr">
        <is>
          <t>King's College Chapel: страница концертов без дат в HTML; концерты есть в Ents24 (S006) и Visit Cambridge</t>
        </is>
      </c>
    </row>
    <row r="40">
      <c r="A40" t="inlineStr">
        <is>
          <t>S144</t>
        </is>
      </c>
      <c r="B40" t="inlineStr">
        <is>
          <t>St John's College Chapel</t>
        </is>
      </c>
      <c r="C40" t="inlineStr">
        <is>
          <t>Поля, церкви, ярмарки</t>
        </is>
      </c>
      <c r="D40" t="inlineStr">
        <is>
          <t>живой</t>
        </is>
      </c>
      <c r="E40" t="inlineStr">
        <is>
          <t>покрыт</t>
        </is>
      </c>
      <c r="F40" t="inlineStr">
        <is>
          <t>—</t>
        </is>
      </c>
      <c r="G40" t="inlineStr">
        <is>
          <t>St John's College Chapel: события — отдельными страницами без списка с датами; крупные концерты — в Visit Cambridge</t>
        </is>
      </c>
    </row>
    <row r="41">
      <c r="A41" t="inlineStr">
        <is>
          <t>S145</t>
        </is>
      </c>
      <c r="B41" t="inlineStr">
        <is>
          <t>Trinity College Chapel / Great St Mary's</t>
        </is>
      </c>
      <c r="C41" t="inlineStr">
        <is>
          <t>Поля, церкви, ярмарки</t>
        </is>
      </c>
      <c r="D41" t="inlineStr">
        <is>
          <t>закрыт</t>
        </is>
      </c>
      <c r="E41" s="19" t="inlineStr">
        <is>
          <t>закрыт</t>
        </is>
      </c>
      <c r="F41" t="inlineStr">
        <is>
          <t>—</t>
        </is>
      </c>
      <c r="G41" t="inlineStr">
        <is>
          <t>Trinity College Chapel: ошибка сертификата TLS; Great St Mary's (gsm.cam.ac.uk — 502, greatstmarys.org — страница на скриптах): обеденные концерты — через University What's On (S048)</t>
        </is>
      </c>
    </row>
    <row r="42">
      <c r="A42" t="inlineStr">
        <is>
          <t>S146</t>
        </is>
      </c>
      <c r="B42" t="inlineStr">
        <is>
          <t>Round Church / St Botolph's</t>
        </is>
      </c>
      <c r="C42" t="inlineStr">
        <is>
          <t>Поля, церкви, ярмарки</t>
        </is>
      </c>
      <c r="D42" t="inlineStr">
        <is>
          <t>живой</t>
        </is>
      </c>
      <c r="E42" t="inlineStr">
        <is>
          <t>не нужен</t>
        </is>
      </c>
      <c r="F42" t="inlineStr">
        <is>
          <t>—</t>
        </is>
      </c>
      <c r="G42" t="inlineStr">
        <is>
          <t>Round Church: сайт визит-центра, событий в афише нет; St Botolph's — домен отвечает 502</t>
        </is>
      </c>
    </row>
    <row r="43">
      <c r="A43" t="inlineStr">
        <is>
          <t>S147</t>
        </is>
      </c>
      <c r="B43" t="inlineStr">
        <is>
          <t>Stourbridge Fair, Big Weekend, включение огней</t>
        </is>
      </c>
      <c r="C43" t="inlineStr">
        <is>
          <t>Поля, церкви, ярмарки</t>
        </is>
      </c>
      <c r="D43" t="inlineStr">
        <is>
          <t>—</t>
        </is>
      </c>
      <c r="E43" t="inlineStr">
        <is>
          <t>ежегодное</t>
        </is>
      </c>
      <c r="F43" t="inlineStr">
        <is>
          <t>—</t>
        </is>
      </c>
      <c r="G43" t="inlineStr">
        <is>
          <t>Stourbridge Fair (Leper Chapel, CPPF) — recurring R22; Big Weekend — R23; включение рождественских огней — R24</t>
        </is>
      </c>
    </row>
    <row r="44">
      <c r="A44" t="inlineStr">
        <is>
          <t>S067</t>
        </is>
      </c>
      <c r="B44" t="inlineStr">
        <is>
          <t>National Garden Scheme</t>
        </is>
      </c>
      <c r="C44" t="inlineStr">
        <is>
          <t>Отложенные P2</t>
        </is>
      </c>
      <c r="D44" t="inlineStr">
        <is>
          <t>живой</t>
        </is>
      </c>
      <c r="E44" s="32" t="inlineStr">
        <is>
          <t>отложен</t>
        </is>
      </c>
      <c r="F44" t="inlineStr">
        <is>
          <t>—</t>
        </is>
      </c>
      <c r="G44" t="inlineStr">
        <is>
          <t>NGS (открытые сады): приложение findagarden на скриптах; сезон апрель–сентябрь — проверить API весной</t>
        </is>
      </c>
    </row>
    <row r="45">
      <c r="A45" t="inlineStr">
        <is>
          <t>S076</t>
        </is>
      </c>
      <c r="B45" t="inlineStr">
        <is>
          <t>Love Mill Road / Mill Road Fringe</t>
        </is>
      </c>
      <c r="C45" t="inlineStr">
        <is>
          <t>Отложенные P2</t>
        </is>
      </c>
      <c r="D45" t="inlineStr">
        <is>
          <t>живой</t>
        </is>
      </c>
      <c r="E45" s="32" t="inlineStr">
        <is>
          <t>отложен</t>
        </is>
      </c>
      <c r="F45" t="inlineStr">
        <is>
          <t>—</t>
        </is>
      </c>
      <c r="G45" t="inlineStr">
        <is>
          <t>Mill Road Fringe: страница без дат, фестиваль летом — проверить к сезону; Winter Fair — в recurring (R16)</t>
        </is>
      </c>
    </row>
    <row r="46">
      <c r="A46" t="inlineStr">
        <is>
          <t>S086</t>
        </is>
      </c>
      <c r="B46" t="inlineStr">
        <is>
          <t>Addenbrooke's Charitable Trust — события</t>
        </is>
      </c>
      <c r="C46" t="inlineStr">
        <is>
          <t>Отложенные P2</t>
        </is>
      </c>
      <c r="D46" t="inlineStr">
        <is>
          <t>живой</t>
        </is>
      </c>
      <c r="E46" t="inlineStr">
        <is>
          <t>не нужен</t>
        </is>
      </c>
      <c r="F46" t="inlineStr">
        <is>
          <t>—</t>
        </is>
      </c>
      <c r="G46" t="inlineStr">
        <is>
          <t>Addenbrooke's Charitable Trust: благотворительные забеги и акции для участников, не события для зрителей; Dragon Boat Festival — в recurring (R10)</t>
        </is>
      </c>
    </row>
    <row r="47">
      <c r="A47" t="inlineStr">
        <is>
          <t>S098</t>
        </is>
      </c>
      <c r="B47" t="inlineStr">
        <is>
          <t>South Cambridgeshire District Council</t>
        </is>
      </c>
      <c r="C47" t="inlineStr">
        <is>
          <t>Отложенные P2</t>
        </is>
      </c>
      <c r="D47" t="inlineStr">
        <is>
          <t>живой</t>
        </is>
      </c>
      <c r="E47" t="inlineStr">
        <is>
          <t>не нужен</t>
        </is>
      </c>
      <c r="F47" t="inlineStr">
        <is>
          <t>—</t>
        </is>
      </c>
      <c r="G47" t="inlineStr">
        <is>
          <t>South Cambridgeshire DC: календарь — заседания совета, не публичные события</t>
        </is>
      </c>
    </row>
    <row r="48">
      <c r="A48" t="inlineStr">
        <is>
          <t>S099</t>
        </is>
      </c>
      <c r="B48" t="inlineStr">
        <is>
          <t>East Cambridgeshire District Council</t>
        </is>
      </c>
      <c r="C48" t="inlineStr">
        <is>
          <t>Отложенные P2</t>
        </is>
      </c>
      <c r="D48" t="inlineStr">
        <is>
          <t>живой</t>
        </is>
      </c>
      <c r="E48" t="inlineStr">
        <is>
          <t>не нужен</t>
        </is>
      </c>
      <c r="F48" t="inlineStr">
        <is>
          <t>—</t>
        </is>
      </c>
      <c r="G48" t="inlineStr">
        <is>
          <t>East Cambridgeshire DC: страница событий пуста</t>
        </is>
      </c>
    </row>
    <row r="49">
      <c r="A49" t="inlineStr">
        <is>
          <t>S105</t>
        </is>
      </c>
      <c r="B49" t="inlineStr">
        <is>
          <t>St Neots Town Council</t>
        </is>
      </c>
      <c r="C49" t="inlineStr">
        <is>
          <t>Отложенные P2</t>
        </is>
      </c>
      <c r="D49" t="inlineStr">
        <is>
          <t>живой</t>
        </is>
      </c>
      <c r="E49" t="inlineStr">
        <is>
          <t>не нужен</t>
        </is>
      </c>
      <c r="F49" t="inlineStr">
        <is>
          <t>—</t>
        </is>
      </c>
      <c r="G49" t="inlineStr">
        <is>
          <t>St Neots Town Council: 5–6 событий в год (Bands in the Park, Dragon Boat Race, включение огней), на страницах без дат — ловятся статьями Hunts Post (S116)</t>
        </is>
      </c>
    </row>
    <row r="50">
      <c r="A50" t="inlineStr">
        <is>
          <t>S111</t>
        </is>
      </c>
      <c r="B50" t="inlineStr">
        <is>
          <t>Whittlesey Town Council</t>
        </is>
      </c>
      <c r="C50" t="inlineStr">
        <is>
          <t>Отложенные P2</t>
        </is>
      </c>
      <c r="D50" t="inlineStr">
        <is>
          <t>живой</t>
        </is>
      </c>
      <c r="E50" t="inlineStr">
        <is>
          <t>не нужен</t>
        </is>
      </c>
      <c r="F50" t="inlineStr">
        <is>
          <t>—</t>
        </is>
      </c>
      <c r="G50" t="inlineStr">
        <is>
          <t>Whittlesey Town Council: страницы событий без дат; Straw Bear — в recurring (R01), остальное — статьи Cambs Times (S117)</t>
        </is>
      </c>
    </row>
    <row r="51">
      <c r="A51" t="inlineStr">
        <is>
          <t>S113</t>
        </is>
      </c>
      <c r="B51" t="inlineStr">
        <is>
          <t>Visit Ely</t>
        </is>
      </c>
      <c r="C51" t="inlineStr">
        <is>
          <t>Отложенные P2</t>
        </is>
      </c>
      <c r="D51" t="inlineStr">
        <is>
          <t>живой</t>
        </is>
      </c>
      <c r="E51" s="33" t="inlineStr">
        <is>
          <t>подключён</t>
        </is>
      </c>
      <c r="F51" t="n">
        <v>10</v>
      </c>
      <c r="G51" t="inlineStr">
        <is>
          <t>Visit Ely: /whats-on/ (JetEngine), дата начала и конца в карточке; площадка не указана — зона по городу Эли</t>
        </is>
      </c>
    </row>
    <row r="52">
      <c r="A52" t="inlineStr">
        <is>
          <t>S115</t>
        </is>
      </c>
      <c r="B52" t="inlineStr">
        <is>
          <t>Visit Huntingdonshire</t>
        </is>
      </c>
      <c r="C52" t="inlineStr">
        <is>
          <t>Отложенные P2</t>
        </is>
      </c>
      <c r="D52" t="inlineStr">
        <is>
          <t>живой</t>
        </is>
      </c>
      <c r="E52" s="32" t="inlineStr">
        <is>
          <t>отложен</t>
        </is>
      </c>
      <c r="F52" t="inlineStr">
        <is>
          <t>—</t>
        </is>
      </c>
      <c r="G52" t="inlineStr">
        <is>
          <t>Discover Huntingdonshire: афиша загружается скриптом, в HTML дат нет — этап 6b (поиск)</t>
        </is>
      </c>
    </row>
    <row r="53">
      <c r="A53" t="inlineStr">
        <is>
          <t>S126</t>
        </is>
      </c>
      <c r="B53" t="inlineStr">
        <is>
          <t>Bury St Edmunds — Apex / Theatre Royal / Visit Bury</t>
        </is>
      </c>
      <c r="C53" t="inlineStr">
        <is>
          <t>Отложенные P2</t>
        </is>
      </c>
      <c r="D53" t="inlineStr">
        <is>
          <t>живой</t>
        </is>
      </c>
      <c r="E53" s="33" t="inlineStr">
        <is>
          <t>подключён</t>
        </is>
      </c>
      <c r="F53" t="n">
        <v>30</v>
      </c>
      <c r="G53" t="inlineStr">
        <is>
          <t>Theatre Royal Bury St Edmunds: список — REST WordPress /wp-json/wp/v2/events (~33), дата и цена — со страниц спектаклей; RSS /feed/ — новости театра, не афиша</t>
        </is>
      </c>
    </row>
    <row r="54">
      <c r="A54" t="inlineStr">
        <is>
          <t>S009</t>
        </is>
      </c>
      <c r="B54" t="inlineStr">
        <is>
          <t>Songkick — площадки Кембриджа</t>
        </is>
      </c>
      <c r="C54" t="inlineStr">
        <is>
          <t>Источники P3</t>
        </is>
      </c>
      <c r="D54" t="inlineStr">
        <is>
          <t>живой</t>
        </is>
      </c>
      <c r="E54" t="inlineStr">
        <is>
          <t>не нужен</t>
        </is>
      </c>
      <c r="F54" t="inlineStr">
        <is>
          <t>—</t>
        </is>
      </c>
      <c r="G54" t="inlineStr">
        <is>
          <t>Songkick: страница города — 404, API для новых партнёров закрыт; концерты покрыты Ents24/Skiddle (S006, S007)</t>
        </is>
      </c>
    </row>
    <row r="55">
      <c r="A55" t="inlineStr">
        <is>
          <t>S016</t>
        </is>
      </c>
      <c r="B55" t="inlineStr">
        <is>
          <t>Хоровая музыка колледжей (King's, St John's, Trinity)</t>
        </is>
      </c>
      <c r="C55" t="inlineStr">
        <is>
          <t>Источники P3</t>
        </is>
      </c>
      <c r="D55" t="inlineStr">
        <is>
          <t>—</t>
        </is>
      </c>
      <c r="E55" t="inlineStr">
        <is>
          <t>не нужен</t>
        </is>
      </c>
      <c r="F55" t="inlineStr">
        <is>
          <t>—</t>
        </is>
      </c>
      <c r="G55" t="inlineStr">
        <is>
          <t>хоровая музыка колледжей — покрыто: King's/GSM через Ents24 и University What's On (S048), St John's/Trinity — Visit Cambridge (S001); регулярный evensong в выпуск не идёт</t>
        </is>
      </c>
    </row>
    <row r="56">
      <c r="A56" t="inlineStr">
        <is>
          <t>S019</t>
        </is>
      </c>
      <c r="B56" t="inlineStr">
        <is>
          <t>Cambridge City FC</t>
        </is>
      </c>
      <c r="C56" t="inlineStr">
        <is>
          <t>Источники P3</t>
        </is>
      </c>
      <c r="D56" t="inlineStr">
        <is>
          <t>живой</t>
        </is>
      </c>
      <c r="E56" t="inlineStr">
        <is>
          <t>не нужен</t>
        </is>
      </c>
      <c r="F56" t="inlineStr">
        <is>
          <t>—</t>
        </is>
      </c>
      <c r="G56" t="inlineStr">
        <is>
          <t>Cambridge City FC: 8-й уровень (Isthmian North, стадион в Sawston), матчи низкой значимости; сайт лиги без календаря в HTML, Football Web Pages — 403</t>
        </is>
      </c>
    </row>
    <row r="57">
      <c r="A57" t="inlineStr">
        <is>
          <t>S022</t>
        </is>
      </c>
      <c r="B57" t="inlineStr">
        <is>
          <t>Huntingdon Racecourse</t>
        </is>
      </c>
      <c r="C57" t="inlineStr">
        <is>
          <t>Источники P3</t>
        </is>
      </c>
      <c r="D57" t="inlineStr">
        <is>
          <t>живой</t>
        </is>
      </c>
      <c r="E57" s="33" t="inlineStr">
        <is>
          <t>подключён</t>
        </is>
      </c>
      <c r="F57" t="n">
        <v>11</v>
      </c>
      <c r="G57" t="inlineStr">
        <is>
          <t>Huntingdon Racecourse: JSON-LD на странице событий Jockey Club (как Newmarket S021)</t>
        </is>
      </c>
    </row>
    <row r="58">
      <c r="A58" t="inlineStr">
        <is>
          <t>S024</t>
        </is>
      </c>
      <c r="B58" t="inlineStr">
        <is>
          <t>Town Bumps (Cambridgeshire Rowing Association)</t>
        </is>
      </c>
      <c r="C58" t="inlineStr">
        <is>
          <t>Источники P3</t>
        </is>
      </c>
      <c r="D58" t="inlineStr">
        <is>
          <t>закрыт</t>
        </is>
      </c>
      <c r="E58" t="inlineStr">
        <is>
          <t>ежегодное</t>
        </is>
      </c>
      <c r="F58" t="inlineStr">
        <is>
          <t>—</t>
        </is>
      </c>
      <c r="G58" t="inlineStr">
        <is>
          <t>Town Bumps: сайт Cambridgeshire Rowing Association отвечает 502; летние Town Bumps — в бэклог recurring (дата вручную)</t>
        </is>
      </c>
    </row>
    <row r="59">
      <c r="A59" t="inlineStr">
        <is>
          <t>S025</t>
        </is>
      </c>
      <c r="B59" t="inlineStr">
        <is>
          <t>Varsity-матчи (Oxford vs Cambridge)</t>
        </is>
      </c>
      <c r="C59" t="inlineStr">
        <is>
          <t>Источники P3</t>
        </is>
      </c>
      <c r="D59" t="inlineStr">
        <is>
          <t>—</t>
        </is>
      </c>
      <c r="E59" s="32" t="inlineStr">
        <is>
          <t>вручную</t>
        </is>
      </c>
      <c r="F59" t="inlineStr">
        <is>
          <t>—</t>
        </is>
      </c>
      <c r="G59" t="inlineStr">
        <is>
          <t>Varsity-матчи: календарь вручную (даты публикуются университетскими клубами), крупные — через статьи</t>
        </is>
      </c>
    </row>
    <row r="60">
      <c r="A60" t="inlineStr">
        <is>
          <t>S037</t>
        </is>
      </c>
      <c r="B60" t="inlineStr">
        <is>
          <t>Cambridge Science Festival / семейные программы</t>
        </is>
      </c>
      <c r="C60" t="inlineStr">
        <is>
          <t>Источники P3</t>
        </is>
      </c>
      <c r="D60" t="inlineStr">
        <is>
          <t>—</t>
        </is>
      </c>
      <c r="E60" t="inlineStr">
        <is>
          <t>не нужен</t>
        </is>
      </c>
      <c r="F60" t="inlineStr">
        <is>
          <t>—</t>
        </is>
      </c>
      <c r="G60" t="inlineStr">
        <is>
          <t>Cambridge Science Festival слит с Cambridge Festival — дубль R04</t>
        </is>
      </c>
    </row>
    <row r="61">
      <c r="A61" t="inlineStr">
        <is>
          <t>S040</t>
        </is>
      </c>
      <c r="B61" t="inlineStr">
        <is>
          <t>Деревенские fetes и летние ярмарки</t>
        </is>
      </c>
      <c r="C61" t="inlineStr">
        <is>
          <t>Источники P3</t>
        </is>
      </c>
      <c r="D61" t="inlineStr">
        <is>
          <t>—</t>
        </is>
      </c>
      <c r="E61" t="inlineStr">
        <is>
          <t>покрыт</t>
        </is>
      </c>
      <c r="F61" t="inlineStr">
        <is>
          <t>—</t>
        </is>
      </c>
      <c r="G61" t="inlineStr">
        <is>
          <t>деревенские fetes — через Eventbrite (S008), Visit Cambridge (S001), статьи Newsquest (S116–S119); Facebook-группы не парсим</t>
        </is>
      </c>
    </row>
    <row r="62">
      <c r="A62" t="inlineStr">
        <is>
          <t>S043</t>
        </is>
      </c>
      <c r="B62" t="inlineStr">
        <is>
          <t>Mumford Theatre (ARU)</t>
        </is>
      </c>
      <c r="C62" t="inlineStr">
        <is>
          <t>Источники P3</t>
        </is>
      </c>
      <c r="D62" t="inlineStr">
        <is>
          <t>живой</t>
        </is>
      </c>
      <c r="E62" s="33" t="inlineStr">
        <is>
          <t>подключён</t>
        </is>
      </c>
      <c r="F62" t="n">
        <v>0</v>
      </c>
      <c r="G62" t="inlineStr">
        <is>
          <t>Mumford Theatre (ARU): афиша на Eventbrite (страница организатора), JSON-LD страниц событий; сейчас у организатора 0 предстоящих (upcomingEventsTotal: 0) — межсезонье</t>
        </is>
      </c>
    </row>
    <row r="63">
      <c r="A63" t="inlineStr">
        <is>
          <t>S059</t>
        </is>
      </c>
      <c r="B63" t="inlineStr">
        <is>
          <t>Cambridge Market (Market Square)</t>
        </is>
      </c>
      <c r="C63" t="inlineStr">
        <is>
          <t>Источники P3</t>
        </is>
      </c>
      <c r="D63" t="inlineStr">
        <is>
          <t>—</t>
        </is>
      </c>
      <c r="E63" t="inlineStr">
        <is>
          <t>не нужен</t>
        </is>
      </c>
      <c r="F63" t="inlineStr">
        <is>
          <t>—</t>
        </is>
      </c>
      <c r="G63" t="inlineStr">
        <is>
          <t>Cambridge Market — ежедневный рынок, стабильное расписание: справочник, не событие</t>
        </is>
      </c>
    </row>
    <row r="64">
      <c r="A64" t="inlineStr">
        <is>
          <t>S060</t>
        </is>
      </c>
      <c r="B64" t="inlineStr">
        <is>
          <t>All Saints Garden Art &amp; Craft Market</t>
        </is>
      </c>
      <c r="C64" t="inlineStr">
        <is>
          <t>Источники P3</t>
        </is>
      </c>
      <c r="D64" t="inlineStr">
        <is>
          <t>—</t>
        </is>
      </c>
      <c r="E64" t="inlineStr">
        <is>
          <t>не нужен</t>
        </is>
      </c>
      <c r="F64" t="inlineStr">
        <is>
          <t>—</t>
        </is>
      </c>
      <c r="G64" t="inlineStr">
        <is>
          <t>All Saints Garden Art &amp; Craft Market — регулярный (суббота), справочник</t>
        </is>
      </c>
    </row>
    <row r="65">
      <c r="A65" t="inlineStr">
        <is>
          <t>S061</t>
        </is>
      </c>
      <c r="B65" t="inlineStr">
        <is>
          <t>Car boot sales в округе</t>
        </is>
      </c>
      <c r="C65" t="inlineStr">
        <is>
          <t>Источники P3</t>
        </is>
      </c>
      <c r="D65" t="inlineStr">
        <is>
          <t>—</t>
        </is>
      </c>
      <c r="E65" t="inlineStr">
        <is>
          <t>не нужен</t>
        </is>
      </c>
      <c r="F65" t="inlineStr">
        <is>
          <t>—</t>
        </is>
      </c>
      <c r="G65" t="inlineStr">
        <is>
          <t>car boot sales — агрегатора с разрешающим robots.txt не нашлось; регулярные — справочник</t>
        </is>
      </c>
    </row>
    <row r="66">
      <c r="A66" t="inlineStr">
        <is>
          <t>S063</t>
        </is>
      </c>
      <c r="B66" t="inlineStr">
        <is>
          <t>Resident Advisor / Skiddle — клубные события</t>
        </is>
      </c>
      <c r="C66" t="inlineStr">
        <is>
          <t>Источники P3</t>
        </is>
      </c>
      <c r="D66" t="inlineStr">
        <is>
          <t>закрыт</t>
        </is>
      </c>
      <c r="E66" t="inlineStr">
        <is>
          <t>покрыт</t>
        </is>
      </c>
      <c r="F66" t="inlineStr">
        <is>
          <t>—</t>
        </is>
      </c>
      <c r="G66" t="inlineStr">
        <is>
          <t>Resident Advisor — 403; клубные события — Skiddle (S007, S129)</t>
        </is>
      </c>
    </row>
    <row r="67">
      <c r="A67" t="inlineStr">
        <is>
          <t>S064</t>
        </is>
      </c>
      <c r="B67" t="inlineStr">
        <is>
          <t>Квизы в пабах</t>
        </is>
      </c>
      <c r="C67" t="inlineStr">
        <is>
          <t>Источники P3</t>
        </is>
      </c>
      <c r="D67" t="inlineStr">
        <is>
          <t>—</t>
        </is>
      </c>
      <c r="E67" t="inlineStr">
        <is>
          <t>не нужен</t>
        </is>
      </c>
      <c r="F67" t="inlineStr">
        <is>
          <t>—</t>
        </is>
      </c>
      <c r="G67" t="inlineStr">
        <is>
          <t>квизы в пабах — справочник, не лента событий</t>
        </is>
      </c>
    </row>
    <row r="68">
      <c r="A68" t="inlineStr">
        <is>
          <t>S068</t>
        </is>
      </c>
      <c r="B68" t="inlineStr">
        <is>
          <t>Колледжи — дни открытых дверей и туры</t>
        </is>
      </c>
      <c r="C68" t="inlineStr">
        <is>
          <t>Источники P3</t>
        </is>
      </c>
      <c r="D68" t="inlineStr">
        <is>
          <t>—</t>
        </is>
      </c>
      <c r="E68" s="32" t="inlineStr">
        <is>
          <t>вручную</t>
        </is>
      </c>
      <c r="F68" t="inlineStr">
        <is>
          <t>—</t>
        </is>
      </c>
      <c r="G68" t="inlineStr">
        <is>
          <t>дни открытых дверей колледжей — Open Cambridge (R12) и University What's On (S048)</t>
        </is>
      </c>
    </row>
    <row r="69">
      <c r="A69" t="inlineStr">
        <is>
          <t>S073</t>
        </is>
      </c>
      <c r="B69" t="inlineStr">
        <is>
          <t>Remembrance, Pancake Race и др. традиции</t>
        </is>
      </c>
      <c r="C69" t="inlineStr">
        <is>
          <t>Источники P3</t>
        </is>
      </c>
      <c r="D69" t="inlineStr">
        <is>
          <t>—</t>
        </is>
      </c>
      <c r="E69" s="32" t="inlineStr">
        <is>
          <t>вручную</t>
        </is>
      </c>
      <c r="F69" t="inlineStr">
        <is>
          <t>—</t>
        </is>
      </c>
      <c r="G69" t="inlineStr">
        <is>
          <t>традиции (Remembrance, Pancake Race) — статичный календарь / recurring вручную; Remembrance в Эли — пришло из статьи Ely Standard</t>
        </is>
      </c>
    </row>
    <row r="70">
      <c r="A70" t="inlineStr">
        <is>
          <t>S074</t>
        </is>
      </c>
      <c r="B70" t="inlineStr">
        <is>
          <t>Makespace Cambridge</t>
        </is>
      </c>
      <c r="C70" t="inlineStr">
        <is>
          <t>Источники P3</t>
        </is>
      </c>
      <c r="D70" t="inlineStr">
        <is>
          <t>закрыт</t>
        </is>
      </c>
      <c r="E70" s="19" t="inlineStr">
        <is>
          <t>закрыт</t>
        </is>
      </c>
      <c r="F70" t="inlineStr">
        <is>
          <t>—</t>
        </is>
      </c>
      <c r="G70" t="inlineStr">
        <is>
          <t>Makespace: 429 на robots.txt — считаем запретом; курсы для членов, не публичные события</t>
        </is>
      </c>
    </row>
    <row r="71">
      <c r="A71" t="inlineStr">
        <is>
          <t>S080</t>
        </is>
      </c>
      <c r="B71" t="inlineStr">
        <is>
          <t>Stagecoach East / Park &amp; Ride</t>
        </is>
      </c>
      <c r="C71" t="inlineStr">
        <is>
          <t>Источники P3</t>
        </is>
      </c>
      <c r="D71" t="inlineStr">
        <is>
          <t>—</t>
        </is>
      </c>
      <c r="E71" t="inlineStr">
        <is>
          <t>не нужен</t>
        </is>
      </c>
      <c r="F71" t="inlineStr">
        <is>
          <t>—</t>
        </is>
      </c>
      <c r="G71" t="inlineStr">
        <is>
          <t>Stagecoach / Park &amp; Ride — транспорт, не события (рубрики «Практическое» в выпуске нет)</t>
        </is>
      </c>
    </row>
    <row r="72">
      <c r="A72" t="inlineStr">
        <is>
          <t>S085</t>
        </is>
      </c>
      <c r="B72" t="inlineStr">
        <is>
          <t>Cambridge Pythons (университетский ам. футбол)</t>
        </is>
      </c>
      <c r="C72" t="inlineStr">
        <is>
          <t>Источники P3</t>
        </is>
      </c>
      <c r="D72" t="inlineStr">
        <is>
          <t>закрыт</t>
        </is>
      </c>
      <c r="E72" s="32" t="inlineStr">
        <is>
          <t>отложен</t>
        </is>
      </c>
      <c r="F72" t="inlineStr">
        <is>
          <t>—</t>
        </is>
      </c>
      <c r="G72" t="inlineStr">
        <is>
          <t>Cambridge Pythons: сайт отвечает 502, сезон BAFA весна–лето — проверить весной вместе с Cambridgeshire Cats (R18)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2026-09-23T20:44:36Z</dcterms:created>
  <dcterms:modified xsi:type="dcterms:W3CDTF">2026-09-28T18:21:47Z</dcterms:modified>
  <cp:revision>0</cp:revision>
</cp:coreProperties>
</file>